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codeName="ThisWorkbook"/>
  <xr:revisionPtr revIDLastSave="0" documentId="13_ncr:1_{4F0F0406-E3E0-41D9-9CE6-285B7F55FD8A}" xr6:coauthVersionLast="47" xr6:coauthVersionMax="47" xr10:uidLastSave="{00000000-0000-0000-0000-000000000000}"/>
  <bookViews>
    <workbookView xWindow="-28920" yWindow="-120" windowWidth="29040" windowHeight="15840" xr2:uid="{00000000-000D-0000-FFFF-FFFF00000000}"/>
  </bookViews>
  <sheets>
    <sheet name="PlanningProjet" sheetId="11" r:id="rId1"/>
    <sheet name="À propos de" sheetId="12" r:id="rId2"/>
  </sheets>
  <definedNames>
    <definedName name="avancement_tâche" localSheetId="0">PlanningProjet!$D1</definedName>
    <definedName name="ce_jour" localSheetId="0">TODAY()</definedName>
    <definedName name="Début_Projet">PlanningProjet!$E$3</definedName>
    <definedName name="début_tâche" localSheetId="0">PlanningProjet!$E1</definedName>
    <definedName name="fin_tâche" localSheetId="0">PlanningProjet!$F1</definedName>
    <definedName name="_xlnm.Print_Titles" localSheetId="0">PlanningProjet!$4:$6</definedName>
    <definedName name="Semaine_Affichage">PlanningProjet!$E$4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0" i="11" l="1"/>
  <c r="H29" i="11"/>
  <c r="H28" i="11"/>
  <c r="H27" i="11"/>
  <c r="H26" i="11"/>
  <c r="H25" i="11"/>
  <c r="H24" i="11"/>
  <c r="H23" i="11"/>
  <c r="H22" i="11"/>
  <c r="H7" i="11"/>
  <c r="H17" i="11" l="1"/>
  <c r="I5" i="11"/>
  <c r="H21" i="11"/>
  <c r="H20" i="11"/>
  <c r="H19" i="11"/>
  <c r="H14" i="11"/>
  <c r="H8" i="11"/>
  <c r="I6" i="11" l="1"/>
  <c r="J5" i="11"/>
  <c r="J6" i="11" s="1"/>
  <c r="H9" i="11"/>
  <c r="H10" i="11" l="1"/>
  <c r="H18" i="11"/>
  <c r="H13" i="11"/>
  <c r="K5" i="11" l="1"/>
  <c r="L5" i="11" l="1"/>
  <c r="M5" i="11" l="1"/>
  <c r="N5" i="11" l="1"/>
  <c r="O5" i="11" l="1"/>
  <c r="P5" i="11" l="1"/>
  <c r="P6" i="11" s="1"/>
  <c r="O6" i="11"/>
  <c r="N6" i="11"/>
  <c r="M6" i="11"/>
  <c r="L6" i="11"/>
  <c r="K6" i="11"/>
  <c r="I4" i="11"/>
  <c r="H15" i="11" l="1"/>
  <c r="H11" i="11"/>
  <c r="H12" i="11"/>
  <c r="P4" i="11"/>
  <c r="Q5" i="11"/>
  <c r="R5" i="11" l="1"/>
  <c r="S5" i="11" l="1"/>
  <c r="T5" i="11" l="1"/>
  <c r="U5" i="11" l="1"/>
  <c r="V5" i="11" l="1"/>
  <c r="W5" i="11" l="1"/>
  <c r="W6" i="11" s="1"/>
  <c r="V6" i="11"/>
  <c r="U6" i="11"/>
  <c r="T6" i="11"/>
  <c r="S6" i="11"/>
  <c r="R6" i="11"/>
  <c r="Q6" i="11"/>
  <c r="H16" i="11"/>
  <c r="W4" i="11"/>
  <c r="X5" i="11"/>
  <c r="Y5" i="11" l="1"/>
  <c r="Z5" i="11" l="1"/>
  <c r="AA5" i="11" l="1"/>
  <c r="AB5" i="11" l="1"/>
  <c r="AC5" i="11" l="1"/>
  <c r="AD5" i="11" l="1"/>
  <c r="AD6" i="11" s="1"/>
  <c r="AC6" i="11"/>
  <c r="AB6" i="11"/>
  <c r="AA6" i="11"/>
  <c r="Z6" i="11"/>
  <c r="Y6" i="11"/>
  <c r="X6" i="11"/>
  <c r="AE5" i="11"/>
  <c r="AF5" i="11" l="1"/>
  <c r="AG5" i="11" l="1"/>
  <c r="AH5" i="11" l="1"/>
  <c r="AI5" i="11" l="1"/>
  <c r="AJ5" i="11" l="1"/>
  <c r="AJ6" i="11" s="1"/>
  <c r="AI6" i="11"/>
  <c r="AH6" i="11"/>
  <c r="AG6" i="11"/>
  <c r="AF6" i="11"/>
  <c r="AE6" i="11"/>
  <c r="AD4" i="11"/>
  <c r="AK5" i="11" l="1"/>
  <c r="AL5" i="11" l="1"/>
  <c r="AM5" i="11" l="1"/>
  <c r="AN5" i="11" l="1"/>
  <c r="AO5" i="11" l="1"/>
  <c r="AP5" i="11" l="1"/>
  <c r="AQ5" i="11" l="1"/>
  <c r="AQ6" i="11" s="1"/>
  <c r="AP6" i="11"/>
  <c r="AO6" i="11"/>
  <c r="AN6" i="11"/>
  <c r="AM6" i="11"/>
  <c r="AL6" i="11"/>
  <c r="AK6" i="11"/>
  <c r="AR5" i="11" l="1"/>
  <c r="AS5" i="11" s="1"/>
  <c r="AS6" i="11" s="1"/>
  <c r="AK4" i="11"/>
  <c r="AR6" i="11" l="1"/>
  <c r="AT5" i="11"/>
  <c r="AT6" i="11" s="1"/>
  <c r="AR4" i="11"/>
  <c r="AU5" i="11" l="1"/>
  <c r="AU6" i="11" s="1"/>
  <c r="AV5" i="11" l="1"/>
  <c r="AV6" i="11" s="1"/>
  <c r="AW5" i="11" l="1"/>
  <c r="AW6" i="11" s="1"/>
  <c r="AX5" i="11" l="1"/>
  <c r="AY5" i="11" l="1"/>
  <c r="AY6" i="11" s="1"/>
  <c r="AX6" i="11"/>
  <c r="AY4" i="11" l="1"/>
  <c r="AZ5" i="11"/>
  <c r="AZ6" i="11" s="1"/>
  <c r="BA5" i="11" l="1"/>
  <c r="BA6" i="11" s="1"/>
  <c r="BB5" i="11" l="1"/>
  <c r="BB6" i="11" s="1"/>
  <c r="BC5" i="11" l="1"/>
  <c r="BC6" i="11" s="1"/>
  <c r="BD5" i="11" l="1"/>
  <c r="BD6" i="11" s="1"/>
  <c r="BE5" i="11" l="1"/>
  <c r="BE6" i="11" s="1"/>
  <c r="BF5" i="11" l="1"/>
  <c r="BF6" i="11" s="1"/>
  <c r="BF4" i="11" l="1"/>
  <c r="BG5" i="11"/>
  <c r="BG6" i="11" s="1"/>
  <c r="BH5" i="11" l="1"/>
  <c r="BH6" i="11" s="1"/>
  <c r="BI5" i="11" l="1"/>
  <c r="BI6" i="11" s="1"/>
  <c r="BJ5" i="11" l="1"/>
  <c r="BJ6" i="11" s="1"/>
  <c r="BK5" i="11" l="1"/>
  <c r="BK6" i="11" s="1"/>
  <c r="BL5" i="11" l="1"/>
  <c r="BL6" i="11" s="1"/>
</calcChain>
</file>

<file path=xl/sharedStrings.xml><?xml version="1.0" encoding="utf-8"?>
<sst xmlns="http://schemas.openxmlformats.org/spreadsheetml/2006/main" count="63" uniqueCount="61">
  <si>
    <t>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</si>
  <si>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Entrez le nom de la société dans la cellule B2.</t>
  </si>
  <si>
    <t>Entrez le nom du chef de projet dans la cellule B3. Entrez la date de début du projet dans la cellule E3. Début du projet : l’étiquette figure dans la cellule C3.</t>
  </si>
  <si>
    <t>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</si>
  <si>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</si>
  <si>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</si>
  <si>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 xml:space="preserve">Ne supprimez pas cette ligne. Cette ligne est masquée afin de préserver une formule utilisée pour mettre en évidence le jour en cours au sein du planning de projet. </t>
  </si>
  <si>
    <t>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</si>
  <si>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</si>
  <si>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</si>
  <si>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TÂCHE</t>
  </si>
  <si>
    <t>Début du projet :</t>
  </si>
  <si>
    <t>Semaine d’affichage :</t>
  </si>
  <si>
    <t>ATTRIBUÉE
À</t>
  </si>
  <si>
    <t>AVANCEMENT</t>
  </si>
  <si>
    <t>DÉBUT</t>
  </si>
  <si>
    <t>FIN</t>
  </si>
  <si>
    <t>JOURS</t>
  </si>
  <si>
    <t>DIAGRAMME DE GANTT SIMPLE par Vertex42.com</t>
  </si>
  <si>
    <t>https://www.vertex42.com/ExcelTemplates/simple-gantt-chart.html</t>
  </si>
  <si>
    <t>À propos de ce modèle</t>
  </si>
  <si>
    <t>Ce modèle fournit un moyen simple de créer un diagramme de Gantt pour vous aider à visualiser et à suivre votre projet. Entrez simplement vos tâches et dates de début et de fin. Aucune formule n’est requise. Les barres du diagramme de Gantt représentent la durée de la tâche et s’affichent avec une mise en forme conditionnelle. Insérez de nouvelles tâches en insérant des lignes.</t>
  </si>
  <si>
    <t>Instructions pour les lecteurs d’écran</t>
  </si>
  <si>
    <t>Ce classeur contient deux feuilles de calcul. 
FeuilleDeTemps
À propos de
Les instructions relatives à chaque feuille de calcul figurent dans la colonne A à partir de la cellule A1. Elles sont rédigées en texte masqué. Chaque étape vous explique comment utiliser les informations décrites dans la ligne. Les étapes suivantes sont décrites dans les cellules A2, A3, etc. sauf mention contraire. Par exemple, l’instruction peut indiquer de « consulter la cellule A6 » pour l’étape suivante. 
Ce texte masqué n’est pas imprimé.
Pour supprimer ces instructions de la feuille de calcul, supprimez simplement la colonne A.</t>
  </si>
  <si>
    <t>Aide supplémentaire</t>
  </si>
  <si>
    <t>Cliquez sur le lien ci-dessous pour visiter le site vertex42.com afin d’en savoir plus sur l’utilisation de ce modèle, par exemple, sur la façon de calculer des jours et des jours de travail, de créer des dépendances de tâches, de modifier les couleurs des barres, d’ajouter une barre de défilement pour faciliter le changement de semaine d’affichage, d’étendre la plage de dates affichée dans le diagramme, etc.</t>
  </si>
  <si>
    <t>Comment utiliser le diagramme de Gantt Simple</t>
  </si>
  <si>
    <t>Autres modèles de gestion de projet</t>
  </si>
  <si>
    <t>Visitez le site Vertex42.com pour télécharger d’autres modèles de gestion de projet, dont différents types de plannings de projet, diagrammes de Gantt, listes de tâches, etc.</t>
  </si>
  <si>
    <t>Modèles de gestion de projet</t>
  </si>
  <si>
    <t>À propos de Vertex42</t>
  </si>
  <si>
    <t>Vertex42.com fournit plus de 300 modèles de feuilles de calcul de conception professionnelle à usage professionnel, personnel ou éducatif, dont la plupart peuvent être téléchargés gratuitement. La collection compte notamment différents calendriers, planificateurs et plannings, ainsi que des feuilles de calcul financières pour la budgétisation, la réduction d’endettement et l’amortissement de prêt.</t>
  </si>
  <si>
    <t>Les entreprises trouveront également des modèles de facture, de feuille de temps, de suivi d’inventaire, d’états financiers et de planification de projet. Les enseignants et les étudiants pourront utiliser des ressources variées, notamment des emplois du temps, des carnets de notes et des feuilles de présence. Organisez votre vie famille avec des planificateurs de repas, des listes de contrôle et des journaux d’entraînement. Chaque modèle est minutieusement étudié, affiné et amélioré au fil du temps grâce aux commentaires de milliers d’utilisateurs.</t>
  </si>
  <si>
    <t>Domaine ADDS</t>
  </si>
  <si>
    <t>PROJET 3</t>
  </si>
  <si>
    <t>ECOTECH</t>
  </si>
  <si>
    <t>FIRSTINFO</t>
  </si>
  <si>
    <t>DNS</t>
  </si>
  <si>
    <t>DHCP</t>
  </si>
  <si>
    <t>GLPI</t>
  </si>
  <si>
    <t>WSUS</t>
  </si>
  <si>
    <t>VOIP</t>
  </si>
  <si>
    <t>MESSAGERIE</t>
  </si>
  <si>
    <t xml:space="preserve">                                                                                   </t>
  </si>
  <si>
    <t>TâcheOU
- Création de toutes les OU correspondantes aux noms des départements
- Mettre les utilisateurs crées dans les OU correspondantes 1</t>
  </si>
  <si>
    <t>Groupes
- Créer les groupes correspondants aux départements choisi
- Mettre les utilisateurs correspondant dans les groupes
- Implémentation de l'AGDLP</t>
  </si>
  <si>
    <t>Utilisateurs
- Création d'au moins 6 utilisateurs :
	- 2 avec la fonction **Manager** dans 2 départements différents
	- 2 utilisateurs "standard" dépendants d'un manager (donc 4 utilisateurs en tout)</t>
  </si>
  <si>
    <t>GPO
- Création des GPO suivantes :
	- Politique de mot de passe (complexité, longueur, etc.)
	- Verrouillage de compte (blocage de l'accès à la session après quelques erreur de mot de passe)
	- Blocage complet ou partiel au panneau de configuration
	- Gestion d'un compte du domaine qui est administrateur local des machines
	- Politique de sécurité PowerShell
- Créer 2 GPO supplémentaires au choix</t>
  </si>
  <si>
    <t>REGLES
- Mise en place de règles de pare-feu WAN, LAN, DMZ (ex.: https://docs.netgate.com/pfsense/en/latest/recipes/example-basic-configuration.html)
- Principe du **Deny All**</t>
  </si>
  <si>
    <t>Nom de la machine : SRVWIN01
- Rôles : DNS
- Création d'une zone directeMise en place d'une zone directe
- Création des enregistrement de type A pour les machines de l'infra
- Création des DNS forwarders</t>
  </si>
  <si>
    <t>Nom de la machine : SRVWIN01
Création d'1 plage DHCP pour le LAN</t>
  </si>
  <si>
    <t>Nom : SRVLX01 (ou machine indépendante GLPI01)
- OS : Debian CLI
- Installation de GLPI</t>
  </si>
  <si>
    <t>Accès en web depuis n'importe quel client sur la web GUI
- Mise en place d'une gestion de parc
- Mise en place d'un système de ticketing</t>
  </si>
  <si>
    <t>Nom de la machine : SRVWIN04
- Rôles : WSUS</t>
  </si>
  <si>
    <t>Création de groupe locaux WSUS
- Gestion de MAJ de sécurité par groupe</t>
  </si>
  <si>
    <t xml:space="preserve">  </t>
  </si>
  <si>
    <t>Nom de la machine : IPBX01
- Installation de FreePBX (https://www.freepbx.org/)</t>
  </si>
  <si>
    <t>Lignes VoIP
- Création de lignes VoIP pour les utilisateurs déjà créer
- Validation de communication téléphonique VoIP entre 2 clients VoIP sur serveur et client Windows
- Utilisation d'un softphone (comme 3CX)</t>
  </si>
  <si>
    <t>Nom de la machine : SRVLX01
- OS : Debian CLI
- Installation de :
	- Zimbra (https://www.zimbra.com/product/download/)
	- ou iRedMail (https://www.iredmail.org/)</t>
  </si>
  <si>
    <t xml:space="preserve">Boites mail
 - Création de boite mail pour les utilisateurs crées
- Connexion via client de messagerie local
- Validation d'envoie et de réception de mails entre 2 clients de messagerie sur serveur et client Windows
</t>
  </si>
  <si>
    <t>PARE FEU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</si>
</sst>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d/m/yy;@"/>
    <numFmt numFmtId="168" formatCode="d\ mmm\ yyyy"/>
    <numFmt numFmtId="169" formatCode="d"/>
  </numFmts>
  <fonts count="38"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1"/>
      <name val="Courier New"/>
      <family val="3"/>
    </font>
    <font>
      <b/>
      <sz val="22"/>
      <color theme="1" tint="0.34998626667073579"/>
      <name val="Courier New"/>
      <family val="3"/>
    </font>
    <font>
      <b/>
      <sz val="20"/>
      <color theme="4" tint="-0.249977111117893"/>
      <name val="Courier New"/>
      <family val="3"/>
    </font>
    <font>
      <sz val="10"/>
      <name val="Courier New"/>
      <family val="3"/>
    </font>
    <font>
      <b/>
      <sz val="11"/>
      <name val="Courier New"/>
      <family val="3"/>
    </font>
    <font>
      <sz val="14"/>
      <color theme="1"/>
      <name val="Courier New"/>
      <family val="3"/>
    </font>
    <font>
      <sz val="9"/>
      <name val="Courier New"/>
      <family val="3"/>
    </font>
    <font>
      <b/>
      <sz val="9"/>
      <color theme="0"/>
      <name val="Courier New"/>
      <family val="3"/>
    </font>
    <font>
      <sz val="8"/>
      <color theme="0"/>
      <name val="Courier New"/>
      <family val="3"/>
    </font>
    <font>
      <b/>
      <sz val="11"/>
      <color theme="1"/>
      <name val="Courier New"/>
      <family val="3"/>
    </font>
    <font>
      <sz val="11"/>
      <name val="Courier New"/>
      <family val="3"/>
    </font>
  </fonts>
  <fills count="4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0"/>
        <bgColor indexed="64"/>
      </patternFill>
    </fill>
  </fills>
  <borders count="26">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3743705557422"/>
      </left>
      <right/>
      <top style="medium">
        <color theme="0" tint="-0.14996795556505021"/>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s>
  <cellStyleXfs count="54">
    <xf numFmtId="0" fontId="0" fillId="0" borderId="0"/>
    <xf numFmtId="0" fontId="2" fillId="0" borderId="0" applyNumberFormat="0" applyFill="0" applyBorder="0" applyAlignment="0" applyProtection="0">
      <alignment vertical="top"/>
      <protection locked="0"/>
    </xf>
    <xf numFmtId="9" fontId="5" fillId="0" borderId="0" applyFont="0" applyFill="0" applyBorder="0" applyAlignment="0" applyProtection="0"/>
    <xf numFmtId="0" fontId="14" fillId="0" borderId="0"/>
    <xf numFmtId="165" fontId="5" fillId="0" borderId="3" applyFont="0" applyFill="0" applyAlignment="0" applyProtection="0"/>
    <xf numFmtId="0" fontId="7" fillId="0" borderId="0" applyNumberFormat="0" applyFill="0" applyBorder="0" applyAlignment="0" applyProtection="0"/>
    <xf numFmtId="0" fontId="6" fillId="0" borderId="0" applyNumberFormat="0" applyFill="0" applyAlignment="0" applyProtection="0"/>
    <xf numFmtId="0" fontId="6" fillId="0" borderId="0" applyNumberFormat="0" applyFill="0" applyProtection="0">
      <alignment vertical="top"/>
    </xf>
    <xf numFmtId="0" fontId="5" fillId="0" borderId="0" applyNumberFormat="0" applyFill="0" applyProtection="0">
      <alignment horizontal="right" indent="1"/>
    </xf>
    <xf numFmtId="166" fontId="5" fillId="0" borderId="3">
      <alignment horizontal="center" vertical="center"/>
    </xf>
    <xf numFmtId="167" fontId="5" fillId="0" borderId="2" applyFill="0">
      <alignment horizontal="center" vertical="center"/>
    </xf>
    <xf numFmtId="0" fontId="5" fillId="0" borderId="2" applyFill="0">
      <alignment horizontal="center" vertical="center"/>
    </xf>
    <xf numFmtId="0" fontId="5" fillId="0" borderId="2" applyFill="0">
      <alignment horizontal="left" vertical="center" indent="2"/>
    </xf>
    <xf numFmtId="0" fontId="15" fillId="0" borderId="0" applyNumberFormat="0" applyFill="0" applyBorder="0" applyAlignment="0" applyProtection="0"/>
    <xf numFmtId="164" fontId="5" fillId="0" borderId="0" applyFont="0" applyFill="0" applyBorder="0" applyAlignment="0" applyProtection="0"/>
    <xf numFmtId="44" fontId="5" fillId="0" borderId="0" applyFont="0" applyFill="0" applyBorder="0" applyAlignment="0" applyProtection="0"/>
    <xf numFmtId="42" fontId="5" fillId="0" borderId="0" applyFont="0" applyFill="0" applyBorder="0" applyAlignment="0" applyProtection="0"/>
    <xf numFmtId="0" fontId="16" fillId="0" borderId="0" applyNumberFormat="0" applyFill="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9" fillId="15" borderId="0" applyNumberFormat="0" applyBorder="0" applyAlignment="0" applyProtection="0"/>
    <xf numFmtId="0" fontId="20" fillId="16" borderId="11" applyNumberFormat="0" applyAlignment="0" applyProtection="0"/>
    <xf numFmtId="0" fontId="21" fillId="17" borderId="12" applyNumberFormat="0" applyAlignment="0" applyProtection="0"/>
    <xf numFmtId="0" fontId="22" fillId="17" borderId="11" applyNumberFormat="0" applyAlignment="0" applyProtection="0"/>
    <xf numFmtId="0" fontId="23" fillId="0" borderId="13" applyNumberFormat="0" applyFill="0" applyAlignment="0" applyProtection="0"/>
    <xf numFmtId="0" fontId="24" fillId="18" borderId="14" applyNumberFormat="0" applyAlignment="0" applyProtection="0"/>
    <xf numFmtId="0" fontId="25" fillId="0" borderId="0" applyNumberFormat="0" applyFill="0" applyBorder="0" applyAlignment="0" applyProtection="0"/>
    <xf numFmtId="0" fontId="5" fillId="19" borderId="15" applyNumberFormat="0" applyFont="0" applyAlignment="0" applyProtection="0"/>
    <xf numFmtId="0" fontId="26" fillId="0" borderId="0" applyNumberFormat="0" applyFill="0" applyBorder="0" applyAlignment="0" applyProtection="0"/>
    <xf numFmtId="0" fontId="4" fillId="0" borderId="16" applyNumberFormat="0" applyFill="0" applyAlignment="0" applyProtection="0"/>
    <xf numFmtId="0" fontId="14"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4"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4"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4"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14" fillId="36"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14" fillId="40"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cellStyleXfs>
  <cellXfs count="91">
    <xf numFmtId="0" fontId="0" fillId="0" borderId="0" xfId="0"/>
    <xf numFmtId="0" fontId="1" fillId="0" borderId="0" xfId="0" applyFont="1"/>
    <xf numFmtId="0" fontId="0" fillId="0" borderId="0" xfId="0" applyAlignment="1">
      <alignment vertical="center"/>
    </xf>
    <xf numFmtId="0" fontId="0" fillId="0" borderId="0" xfId="0" applyAlignment="1">
      <alignment horizontal="center"/>
    </xf>
    <xf numFmtId="0" fontId="1" fillId="0" borderId="0" xfId="0" applyFont="1" applyAlignment="1">
      <alignment vertical="top"/>
    </xf>
    <xf numFmtId="0" fontId="8" fillId="0" borderId="0" xfId="0" applyFont="1" applyAlignment="1">
      <alignment horizontal="left" vertical="center"/>
    </xf>
    <xf numFmtId="0" fontId="9" fillId="0" borderId="0" xfId="0" applyFont="1" applyAlignment="1">
      <alignment horizontal="left" vertical="center"/>
    </xf>
    <xf numFmtId="0" fontId="11" fillId="0" borderId="0" xfId="0" applyFont="1"/>
    <xf numFmtId="0" fontId="13" fillId="0" borderId="0" xfId="0" applyFont="1" applyAlignment="1">
      <alignment vertical="center"/>
    </xf>
    <xf numFmtId="0" fontId="12" fillId="0" borderId="0" xfId="0" applyFont="1" applyAlignment="1">
      <alignment horizontal="left" vertical="top" wrapText="1" indent="1"/>
    </xf>
    <xf numFmtId="0" fontId="1" fillId="0" borderId="0" xfId="0" applyFont="1" applyAlignment="1">
      <alignment horizontal="left" vertical="top"/>
    </xf>
    <xf numFmtId="0" fontId="10"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14" fillId="0" borderId="0" xfId="3"/>
    <xf numFmtId="0" fontId="14" fillId="0" borderId="0" xfId="3" applyAlignment="1">
      <alignment wrapText="1"/>
    </xf>
    <xf numFmtId="0" fontId="3" fillId="0" borderId="0" xfId="0" applyFont="1" applyAlignment="1">
      <alignment vertical="top"/>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14" fillId="0" borderId="0" xfId="3" applyAlignment="1">
      <alignment horizontal="left"/>
    </xf>
    <xf numFmtId="0" fontId="0" fillId="0" borderId="0" xfId="0" applyAlignment="1">
      <alignment horizontal="left" vertical="center"/>
    </xf>
    <xf numFmtId="0" fontId="0" fillId="0" borderId="21" xfId="0" applyBorder="1" applyAlignment="1">
      <alignment horizontal="left" vertical="center"/>
    </xf>
    <xf numFmtId="0" fontId="0" fillId="0" borderId="22" xfId="0" applyBorder="1" applyAlignment="1">
      <alignment horizontal="left" vertical="center"/>
    </xf>
    <xf numFmtId="0" fontId="28" fillId="0" borderId="0" xfId="5" applyFont="1" applyAlignment="1">
      <alignment horizontal="left"/>
    </xf>
    <xf numFmtId="0" fontId="29" fillId="0" borderId="0" xfId="0" applyFont="1" applyAlignment="1">
      <alignment horizontal="left"/>
    </xf>
    <xf numFmtId="0" fontId="30" fillId="0" borderId="0" xfId="0" applyFont="1"/>
    <xf numFmtId="0" fontId="30" fillId="0" borderId="0" xfId="0" applyFont="1" applyAlignment="1">
      <alignment horizontal="center"/>
    </xf>
    <xf numFmtId="0" fontId="30" fillId="0" borderId="0" xfId="0" applyFont="1" applyAlignment="1">
      <alignment horizontal="center" vertical="center"/>
    </xf>
    <xf numFmtId="0" fontId="27" fillId="0" borderId="0" xfId="0" applyFont="1"/>
    <xf numFmtId="0" fontId="31" fillId="0" borderId="0" xfId="0" applyFont="1"/>
    <xf numFmtId="0" fontId="32" fillId="0" borderId="0" xfId="6" applyFont="1"/>
    <xf numFmtId="0" fontId="27" fillId="0" borderId="0" xfId="0" applyFont="1" applyAlignment="1">
      <alignment horizontal="center"/>
    </xf>
    <xf numFmtId="0" fontId="30" fillId="0" borderId="0" xfId="1" applyFont="1" applyProtection="1">
      <alignment vertical="top"/>
    </xf>
    <xf numFmtId="0" fontId="32" fillId="0" borderId="0" xfId="7" applyFont="1">
      <alignment vertical="top"/>
    </xf>
    <xf numFmtId="0" fontId="27" fillId="0" borderId="3" xfId="0" applyFont="1" applyBorder="1" applyAlignment="1">
      <alignment horizontal="center" vertical="center"/>
    </xf>
    <xf numFmtId="0" fontId="27" fillId="0" borderId="10" xfId="0" applyFont="1" applyBorder="1"/>
    <xf numFmtId="169" fontId="33" fillId="6" borderId="6" xfId="0" applyNumberFormat="1" applyFont="1" applyFill="1" applyBorder="1" applyAlignment="1">
      <alignment horizontal="center" vertical="center"/>
    </xf>
    <xf numFmtId="169" fontId="33" fillId="6" borderId="0" xfId="0" applyNumberFormat="1" applyFont="1" applyFill="1" applyAlignment="1">
      <alignment horizontal="center" vertical="center"/>
    </xf>
    <xf numFmtId="169" fontId="33" fillId="6" borderId="7" xfId="0" applyNumberFormat="1" applyFont="1" applyFill="1" applyBorder="1" applyAlignment="1">
      <alignment horizontal="center" vertical="center"/>
    </xf>
    <xf numFmtId="0" fontId="34" fillId="12" borderId="1" xfId="0" applyFont="1" applyFill="1" applyBorder="1" applyAlignment="1">
      <alignment horizontal="left" vertical="center" indent="1"/>
    </xf>
    <xf numFmtId="0" fontId="34" fillId="12" borderId="1" xfId="0" applyFont="1" applyFill="1" applyBorder="1" applyAlignment="1">
      <alignment horizontal="center" vertical="center" wrapText="1"/>
    </xf>
    <xf numFmtId="0" fontId="35" fillId="11" borderId="8" xfId="0" applyFont="1" applyFill="1" applyBorder="1" applyAlignment="1">
      <alignment horizontal="center" vertical="center" shrinkToFit="1"/>
    </xf>
    <xf numFmtId="0" fontId="27" fillId="0" borderId="0" xfId="0" applyFont="1" applyAlignment="1">
      <alignment wrapText="1"/>
    </xf>
    <xf numFmtId="0" fontId="27" fillId="0" borderId="9" xfId="0" applyFont="1" applyBorder="1" applyAlignment="1">
      <alignment vertical="center"/>
    </xf>
    <xf numFmtId="0" fontId="36" fillId="7" borderId="2" xfId="0" applyFont="1" applyFill="1" applyBorder="1" applyAlignment="1">
      <alignment horizontal="left" vertical="center" indent="1"/>
    </xf>
    <xf numFmtId="0" fontId="27" fillId="7" borderId="2" xfId="11" applyFont="1" applyFill="1">
      <alignment horizontal="center" vertical="center"/>
    </xf>
    <xf numFmtId="9" fontId="37" fillId="7" borderId="2" xfId="2" applyFont="1" applyFill="1" applyBorder="1" applyAlignment="1">
      <alignment horizontal="center" vertical="center"/>
    </xf>
    <xf numFmtId="167" fontId="27" fillId="7" borderId="2" xfId="0" applyNumberFormat="1" applyFont="1" applyFill="1" applyBorder="1" applyAlignment="1">
      <alignment horizontal="center" vertical="center"/>
    </xf>
    <xf numFmtId="167" fontId="37" fillId="7" borderId="2" xfId="0" applyNumberFormat="1" applyFont="1" applyFill="1" applyBorder="1" applyAlignment="1">
      <alignment horizontal="center" vertical="center"/>
    </xf>
    <xf numFmtId="0" fontId="37" fillId="0" borderId="2" xfId="0" applyFont="1" applyBorder="1" applyAlignment="1">
      <alignment horizontal="center" vertical="center"/>
    </xf>
    <xf numFmtId="0" fontId="36" fillId="8" borderId="2" xfId="0" applyFont="1" applyFill="1" applyBorder="1" applyAlignment="1">
      <alignment horizontal="left" vertical="center" indent="1"/>
    </xf>
    <xf numFmtId="0" fontId="27" fillId="8" borderId="2" xfId="11" applyFont="1" applyFill="1">
      <alignment horizontal="center" vertical="center"/>
    </xf>
    <xf numFmtId="9" fontId="37" fillId="8" borderId="2" xfId="2" applyFont="1" applyFill="1" applyBorder="1" applyAlignment="1">
      <alignment horizontal="center" vertical="center"/>
    </xf>
    <xf numFmtId="167" fontId="27" fillId="8" borderId="2" xfId="0" applyNumberFormat="1" applyFont="1" applyFill="1" applyBorder="1" applyAlignment="1">
      <alignment horizontal="center" vertical="center"/>
    </xf>
    <xf numFmtId="167" fontId="37" fillId="8" borderId="2" xfId="0" applyNumberFormat="1" applyFont="1" applyFill="1" applyBorder="1" applyAlignment="1">
      <alignment horizontal="center" vertical="center"/>
    </xf>
    <xf numFmtId="0" fontId="27" fillId="0" borderId="9" xfId="0" applyFont="1" applyBorder="1" applyAlignment="1">
      <alignment horizontal="right" vertical="center"/>
    </xf>
    <xf numFmtId="0" fontId="36" fillId="5" borderId="2" xfId="0" applyFont="1" applyFill="1" applyBorder="1" applyAlignment="1">
      <alignment horizontal="left" vertical="center" indent="1"/>
    </xf>
    <xf numFmtId="0" fontId="27" fillId="5" borderId="2" xfId="11" applyFont="1" applyFill="1">
      <alignment horizontal="center" vertical="center"/>
    </xf>
    <xf numFmtId="9" fontId="37" fillId="5" borderId="2" xfId="2" applyFont="1" applyFill="1" applyBorder="1" applyAlignment="1">
      <alignment horizontal="center" vertical="center"/>
    </xf>
    <xf numFmtId="0" fontId="27" fillId="44" borderId="9" xfId="0" applyFont="1" applyFill="1" applyBorder="1" applyAlignment="1">
      <alignment horizontal="right" vertical="center"/>
    </xf>
    <xf numFmtId="0" fontId="27" fillId="44" borderId="9" xfId="0" applyFont="1" applyFill="1" applyBorder="1" applyAlignment="1">
      <alignment vertical="center"/>
    </xf>
    <xf numFmtId="0" fontId="27" fillId="45" borderId="9" xfId="0" applyFont="1" applyFill="1" applyBorder="1" applyAlignment="1">
      <alignment vertical="center"/>
    </xf>
    <xf numFmtId="0" fontId="36" fillId="4" borderId="2" xfId="0" applyFont="1" applyFill="1" applyBorder="1" applyAlignment="1">
      <alignment horizontal="left" vertical="center" indent="1"/>
    </xf>
    <xf numFmtId="0" fontId="27" fillId="4" borderId="2" xfId="11" applyFont="1" applyFill="1">
      <alignment horizontal="center" vertical="center"/>
    </xf>
    <xf numFmtId="9" fontId="37" fillId="4" borderId="2" xfId="2" applyFont="1" applyFill="1" applyBorder="1" applyAlignment="1">
      <alignment horizontal="center" vertical="center"/>
    </xf>
    <xf numFmtId="167" fontId="27" fillId="9" borderId="2" xfId="10" applyFont="1" applyFill="1">
      <alignment horizontal="center" vertical="center"/>
    </xf>
    <xf numFmtId="167" fontId="27" fillId="2" borderId="2" xfId="10" applyFont="1" applyFill="1">
      <alignment horizontal="center" vertical="center"/>
    </xf>
    <xf numFmtId="167" fontId="27" fillId="3" borderId="2" xfId="10" applyFont="1" applyFill="1" applyAlignment="1">
      <alignment horizontal="left" vertical="center"/>
    </xf>
    <xf numFmtId="0" fontId="37" fillId="0" borderId="2" xfId="0" applyFont="1" applyBorder="1" applyAlignment="1">
      <alignment horizontal="left" vertical="center"/>
    </xf>
    <xf numFmtId="0" fontId="27" fillId="0" borderId="9" xfId="0" applyFont="1" applyBorder="1" applyAlignment="1">
      <alignment horizontal="left" vertical="center"/>
    </xf>
    <xf numFmtId="0" fontId="27" fillId="0" borderId="0" xfId="0" applyFont="1" applyAlignment="1">
      <alignment vertical="center"/>
    </xf>
    <xf numFmtId="167" fontId="27" fillId="10" borderId="2" xfId="10" applyFont="1" applyFill="1">
      <alignment horizontal="center" vertical="center"/>
    </xf>
    <xf numFmtId="0" fontId="27" fillId="0" borderId="19" xfId="0" applyFont="1" applyBorder="1" applyAlignment="1">
      <alignment vertical="center"/>
    </xf>
    <xf numFmtId="0" fontId="27" fillId="0" borderId="17" xfId="0" applyFont="1" applyBorder="1" applyAlignment="1">
      <alignment vertical="center"/>
    </xf>
    <xf numFmtId="0" fontId="27" fillId="0" borderId="20" xfId="0" applyFont="1" applyBorder="1" applyAlignment="1">
      <alignment vertical="center"/>
    </xf>
    <xf numFmtId="0" fontId="27" fillId="0" borderId="18" xfId="0" applyFont="1" applyBorder="1" applyAlignment="1">
      <alignment vertical="center"/>
    </xf>
    <xf numFmtId="0" fontId="27" fillId="9" borderId="2" xfId="12" applyFont="1" applyFill="1" applyAlignment="1">
      <alignment horizontal="left" vertical="center" wrapText="1" indent="2"/>
    </xf>
    <xf numFmtId="0" fontId="27" fillId="3" borderId="2" xfId="12" applyFont="1" applyFill="1" applyAlignment="1">
      <alignment horizontal="left" vertical="center" wrapText="1"/>
    </xf>
    <xf numFmtId="0" fontId="27" fillId="10" borderId="2" xfId="12" applyFont="1" applyFill="1" applyAlignment="1">
      <alignment horizontal="left" vertical="center" wrapText="1"/>
    </xf>
    <xf numFmtId="0" fontId="27" fillId="2" borderId="2" xfId="12" applyFont="1" applyFill="1" applyAlignment="1">
      <alignment vertical="center" wrapText="1"/>
    </xf>
    <xf numFmtId="0" fontId="27" fillId="9" borderId="2" xfId="12" applyFont="1" applyFill="1" applyAlignment="1">
      <alignment horizontal="left" vertical="center" wrapText="1"/>
    </xf>
    <xf numFmtId="0" fontId="27" fillId="2" borderId="2" xfId="12" applyFont="1" applyFill="1" applyAlignment="1">
      <alignment horizontal="left" vertical="center" wrapText="1"/>
    </xf>
    <xf numFmtId="0" fontId="27" fillId="0" borderId="0" xfId="8" applyFont="1">
      <alignment horizontal="right" indent="1"/>
    </xf>
    <xf numFmtId="0" fontId="27" fillId="0" borderId="7" xfId="8" applyFont="1" applyBorder="1">
      <alignment horizontal="right" indent="1"/>
    </xf>
    <xf numFmtId="168" fontId="27" fillId="6" borderId="4" xfId="0" applyNumberFormat="1" applyFont="1" applyFill="1" applyBorder="1" applyAlignment="1">
      <alignment horizontal="left" vertical="center" wrapText="1" indent="1"/>
    </xf>
    <xf numFmtId="168" fontId="27" fillId="6" borderId="1" xfId="0" applyNumberFormat="1" applyFont="1" applyFill="1" applyBorder="1" applyAlignment="1">
      <alignment horizontal="left" vertical="center" wrapText="1" indent="1"/>
    </xf>
    <xf numFmtId="168" fontId="27" fillId="6" borderId="5" xfId="0" applyNumberFormat="1" applyFont="1" applyFill="1" applyBorder="1" applyAlignment="1">
      <alignment horizontal="left" vertical="center" wrapText="1" indent="1"/>
    </xf>
    <xf numFmtId="166" fontId="27" fillId="0" borderId="3" xfId="9" applyFont="1">
      <alignment horizontal="center" vertical="center"/>
    </xf>
  </cellXfs>
  <cellStyles count="54">
    <cellStyle name="20 % - Accent1" xfId="31" builtinId="30" customBuiltin="1"/>
    <cellStyle name="20 % - Accent2" xfId="35" builtinId="34" customBuiltin="1"/>
    <cellStyle name="20 % - Accent3" xfId="39" builtinId="38" customBuiltin="1"/>
    <cellStyle name="20 % - Accent4" xfId="43" builtinId="42" customBuiltin="1"/>
    <cellStyle name="20 % - Accent5" xfId="47" builtinId="46" customBuiltin="1"/>
    <cellStyle name="20 % - Accent6" xfId="51" builtinId="50" customBuiltin="1"/>
    <cellStyle name="40 % - Accent1" xfId="32" builtinId="31" customBuiltin="1"/>
    <cellStyle name="40 % - Accent2" xfId="36" builtinId="35" customBuiltin="1"/>
    <cellStyle name="40 % - Accent3" xfId="40" builtinId="39" customBuiltin="1"/>
    <cellStyle name="40 % - Accent4" xfId="44" builtinId="43" customBuiltin="1"/>
    <cellStyle name="40 % - Accent5" xfId="48" builtinId="47" customBuiltin="1"/>
    <cellStyle name="40 % - Accent6" xfId="52" builtinId="51" customBuiltin="1"/>
    <cellStyle name="60 % - Accent1" xfId="33" builtinId="32" customBuiltin="1"/>
    <cellStyle name="60 % - Accent2" xfId="37" builtinId="36" customBuiltin="1"/>
    <cellStyle name="60 % - Accent3" xfId="41" builtinId="40" customBuiltin="1"/>
    <cellStyle name="60 % - Accent4" xfId="45" builtinId="44" customBuiltin="1"/>
    <cellStyle name="60 % - Accent5" xfId="49" builtinId="48" customBuiltin="1"/>
    <cellStyle name="60 %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vertissement" xfId="26" builtinId="11" customBuiltin="1"/>
    <cellStyle name="Calcul" xfId="23" builtinId="22" customBuiltin="1"/>
    <cellStyle name="Cellule liée" xfId="24" builtinId="24" customBuiltin="1"/>
    <cellStyle name="Date" xfId="10" xr:uid="{229918B6-DD13-4F5A-97B9-305F7E002AA3}"/>
    <cellStyle name="Début du projet" xfId="9" xr:uid="{8EB8A09A-C31C-40A3-B2C1-9449520178B8}"/>
    <cellStyle name="Entrée" xfId="21" builtinId="20" customBuiltin="1"/>
    <cellStyle name="Insatisfaisant" xfId="19" builtinId="27" customBuiltin="1"/>
    <cellStyle name="Lien hypertexte" xfId="1" builtinId="8" customBuiltin="1"/>
    <cellStyle name="Lien hypertexte visité" xfId="13" builtinId="9" customBuiltin="1"/>
    <cellStyle name="Milliers" xfId="4" builtinId="3" customBuiltin="1"/>
    <cellStyle name="Milliers [0]" xfId="14" builtinId="6" customBuiltin="1"/>
    <cellStyle name="Monétaire" xfId="15" builtinId="4" customBuiltin="1"/>
    <cellStyle name="Monétaire [0]" xfId="16" builtinId="7" customBuiltin="1"/>
    <cellStyle name="Neutre" xfId="20" builtinId="28" customBuiltin="1"/>
    <cellStyle name="Nom" xfId="11" xr:uid="{B2D3C1EE-6B41-4801-AAFC-C2274E49E503}"/>
    <cellStyle name="Normal" xfId="0" builtinId="0" customBuiltin="1"/>
    <cellStyle name="Note" xfId="27" builtinId="10" customBuiltin="1"/>
    <cellStyle name="Pourcentage" xfId="2" builtinId="5" customBuiltin="1"/>
    <cellStyle name="Satisfaisant" xfId="18" builtinId="26" customBuiltin="1"/>
    <cellStyle name="Sortie" xfId="22" builtinId="21" customBuiltin="1"/>
    <cellStyle name="Tâche" xfId="12" xr:uid="{6391D789-272B-4DD2-9BF3-2CDCF610FA41}"/>
    <cellStyle name="Texte explicatif" xfId="28" builtinId="53" customBuiltin="1"/>
    <cellStyle name="Titre" xfId="5" builtinId="15" customBuiltin="1"/>
    <cellStyle name="Titre 1" xfId="6" builtinId="16" customBuiltin="1"/>
    <cellStyle name="Titre 2" xfId="7" builtinId="17" customBuiltin="1"/>
    <cellStyle name="Titre 3" xfId="8" builtinId="18" customBuiltin="1"/>
    <cellStyle name="Titre 4" xfId="17" builtinId="19" customBuiltin="1"/>
    <cellStyle name="Total" xfId="29" builtinId="25" customBuiltin="1"/>
    <cellStyle name="Vérification" xfId="25" builtinId="23" customBuiltin="1"/>
    <cellStyle name="zTexteMasqué" xfId="3" xr:uid="{26E66EE6-E33F-4D77-BAE4-0FB4F5BBF673}"/>
  </cellStyles>
  <dxfs count="18">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eTâches"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 1" descr="Logo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J34"/>
  <sheetViews>
    <sheetView showGridLines="0" tabSelected="1" showRuler="0" zoomScale="85" zoomScaleNormal="85" zoomScalePageLayoutView="70" workbookViewId="0">
      <pane ySplit="6" topLeftCell="A19" activePane="bottomLeft" state="frozen"/>
      <selection pane="bottomLeft" activeCell="AC15" sqref="AC15"/>
    </sheetView>
  </sheetViews>
  <sheetFormatPr baseColWidth="10" defaultColWidth="9.140625" defaultRowHeight="30" customHeight="1" x14ac:dyDescent="0.25"/>
  <cols>
    <col min="1" max="1" width="32.5703125" style="14" customWidth="1"/>
    <col min="2" max="2" width="19.85546875" customWidth="1"/>
    <col min="3" max="3" width="32.85546875" customWidth="1"/>
    <col min="4" max="4" width="12.7109375" customWidth="1"/>
    <col min="5" max="5" width="10.42578125" style="3" customWidth="1"/>
    <col min="6" max="6" width="10.42578125" customWidth="1"/>
    <col min="7" max="7" width="2.7109375" customWidth="1"/>
    <col min="8" max="8" width="9.5703125" hidden="1" customWidth="1"/>
    <col min="9" max="64" width="2.5703125" customWidth="1"/>
    <col min="69" max="70" width="10.28515625"/>
  </cols>
  <sheetData>
    <row r="1" spans="1:64" ht="30" customHeight="1" x14ac:dyDescent="0.5">
      <c r="A1" s="15" t="s">
        <v>0</v>
      </c>
      <c r="B1" s="26" t="s">
        <v>34</v>
      </c>
      <c r="C1" s="27"/>
      <c r="D1" s="28"/>
      <c r="E1" s="29"/>
      <c r="F1" s="30"/>
      <c r="G1" s="31"/>
      <c r="H1" s="28"/>
      <c r="I1" s="32" t="s">
        <v>18</v>
      </c>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row>
    <row r="2" spans="1:64" ht="30" customHeight="1" x14ac:dyDescent="0.3">
      <c r="A2" s="14" t="s">
        <v>1</v>
      </c>
      <c r="B2" s="33" t="s">
        <v>35</v>
      </c>
      <c r="C2" s="31"/>
      <c r="D2" s="31"/>
      <c r="E2" s="34"/>
      <c r="F2" s="31"/>
      <c r="G2" s="31"/>
      <c r="H2" s="31"/>
      <c r="I2" s="35"/>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row>
    <row r="3" spans="1:64" ht="30" customHeight="1" x14ac:dyDescent="0.25">
      <c r="A3" s="14" t="s">
        <v>2</v>
      </c>
      <c r="B3" s="36" t="s">
        <v>36</v>
      </c>
      <c r="C3" s="85" t="s">
        <v>11</v>
      </c>
      <c r="D3" s="86"/>
      <c r="E3" s="90">
        <v>46035</v>
      </c>
      <c r="F3" s="90"/>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row>
    <row r="4" spans="1:64" ht="30" customHeight="1" x14ac:dyDescent="0.25">
      <c r="A4" s="15" t="s">
        <v>3</v>
      </c>
      <c r="B4" s="31"/>
      <c r="C4" s="85" t="s">
        <v>12</v>
      </c>
      <c r="D4" s="86"/>
      <c r="E4" s="37">
        <v>1</v>
      </c>
      <c r="F4" s="31"/>
      <c r="G4" s="31"/>
      <c r="H4" s="31"/>
      <c r="I4" s="87">
        <f>I5</f>
        <v>46034</v>
      </c>
      <c r="J4" s="88"/>
      <c r="K4" s="88"/>
      <c r="L4" s="88"/>
      <c r="M4" s="88"/>
      <c r="N4" s="88"/>
      <c r="O4" s="89"/>
      <c r="P4" s="87">
        <f>P5</f>
        <v>46041</v>
      </c>
      <c r="Q4" s="88"/>
      <c r="R4" s="88"/>
      <c r="S4" s="88"/>
      <c r="T4" s="88"/>
      <c r="U4" s="88"/>
      <c r="V4" s="89"/>
      <c r="W4" s="87">
        <f>W5</f>
        <v>46048</v>
      </c>
      <c r="X4" s="88"/>
      <c r="Y4" s="88"/>
      <c r="Z4" s="88"/>
      <c r="AA4" s="88"/>
      <c r="AB4" s="88"/>
      <c r="AC4" s="89"/>
      <c r="AD4" s="87">
        <f>AD5</f>
        <v>46055</v>
      </c>
      <c r="AE4" s="88"/>
      <c r="AF4" s="88"/>
      <c r="AG4" s="88"/>
      <c r="AH4" s="88"/>
      <c r="AI4" s="88"/>
      <c r="AJ4" s="89"/>
      <c r="AK4" s="87">
        <f>AK5</f>
        <v>46062</v>
      </c>
      <c r="AL4" s="88"/>
      <c r="AM4" s="88"/>
      <c r="AN4" s="88"/>
      <c r="AO4" s="88"/>
      <c r="AP4" s="88"/>
      <c r="AQ4" s="89"/>
      <c r="AR4" s="87">
        <f>AR5</f>
        <v>46069</v>
      </c>
      <c r="AS4" s="88"/>
      <c r="AT4" s="88"/>
      <c r="AU4" s="88"/>
      <c r="AV4" s="88"/>
      <c r="AW4" s="88"/>
      <c r="AX4" s="89"/>
      <c r="AY4" s="87">
        <f>AY5</f>
        <v>46076</v>
      </c>
      <c r="AZ4" s="88"/>
      <c r="BA4" s="88"/>
      <c r="BB4" s="88"/>
      <c r="BC4" s="88"/>
      <c r="BD4" s="88"/>
      <c r="BE4" s="89"/>
      <c r="BF4" s="87">
        <f>BF5</f>
        <v>46083</v>
      </c>
      <c r="BG4" s="88"/>
      <c r="BH4" s="88"/>
      <c r="BI4" s="88"/>
      <c r="BJ4" s="88"/>
      <c r="BK4" s="88"/>
      <c r="BL4" s="89"/>
    </row>
    <row r="5" spans="1:64" ht="15" customHeight="1" x14ac:dyDescent="0.25">
      <c r="A5" s="15" t="s">
        <v>4</v>
      </c>
      <c r="B5" s="38"/>
      <c r="C5" s="38"/>
      <c r="D5" s="38"/>
      <c r="E5" s="38"/>
      <c r="F5" s="38"/>
      <c r="G5" s="38"/>
      <c r="H5" s="31"/>
      <c r="I5" s="39">
        <f>Début_Projet-WEEKDAY(Début_Projet,1)+2+7*(Semaine_Affichage-1)</f>
        <v>46034</v>
      </c>
      <c r="J5" s="40">
        <f>I5+1</f>
        <v>46035</v>
      </c>
      <c r="K5" s="40">
        <f t="shared" ref="K5:AX5" si="0">J5+1</f>
        <v>46036</v>
      </c>
      <c r="L5" s="40">
        <f t="shared" si="0"/>
        <v>46037</v>
      </c>
      <c r="M5" s="40">
        <f t="shared" si="0"/>
        <v>46038</v>
      </c>
      <c r="N5" s="40">
        <f t="shared" si="0"/>
        <v>46039</v>
      </c>
      <c r="O5" s="41">
        <f t="shared" si="0"/>
        <v>46040</v>
      </c>
      <c r="P5" s="39">
        <f>O5+1</f>
        <v>46041</v>
      </c>
      <c r="Q5" s="40">
        <f>P5+1</f>
        <v>46042</v>
      </c>
      <c r="R5" s="40">
        <f t="shared" si="0"/>
        <v>46043</v>
      </c>
      <c r="S5" s="40">
        <f t="shared" si="0"/>
        <v>46044</v>
      </c>
      <c r="T5" s="40">
        <f t="shared" si="0"/>
        <v>46045</v>
      </c>
      <c r="U5" s="40">
        <f t="shared" si="0"/>
        <v>46046</v>
      </c>
      <c r="V5" s="41">
        <f t="shared" si="0"/>
        <v>46047</v>
      </c>
      <c r="W5" s="39">
        <f>V5+1</f>
        <v>46048</v>
      </c>
      <c r="X5" s="40">
        <f>W5+1</f>
        <v>46049</v>
      </c>
      <c r="Y5" s="40">
        <f t="shared" si="0"/>
        <v>46050</v>
      </c>
      <c r="Z5" s="40">
        <f t="shared" si="0"/>
        <v>46051</v>
      </c>
      <c r="AA5" s="40">
        <f t="shared" si="0"/>
        <v>46052</v>
      </c>
      <c r="AB5" s="40">
        <f t="shared" si="0"/>
        <v>46053</v>
      </c>
      <c r="AC5" s="41">
        <f t="shared" si="0"/>
        <v>46054</v>
      </c>
      <c r="AD5" s="39">
        <f>AC5+1</f>
        <v>46055</v>
      </c>
      <c r="AE5" s="40">
        <f>AD5+1</f>
        <v>46056</v>
      </c>
      <c r="AF5" s="40">
        <f t="shared" si="0"/>
        <v>46057</v>
      </c>
      <c r="AG5" s="40">
        <f t="shared" si="0"/>
        <v>46058</v>
      </c>
      <c r="AH5" s="40">
        <f t="shared" si="0"/>
        <v>46059</v>
      </c>
      <c r="AI5" s="40">
        <f t="shared" si="0"/>
        <v>46060</v>
      </c>
      <c r="AJ5" s="41">
        <f t="shared" si="0"/>
        <v>46061</v>
      </c>
      <c r="AK5" s="39">
        <f>AJ5+1</f>
        <v>46062</v>
      </c>
      <c r="AL5" s="40">
        <f>AK5+1</f>
        <v>46063</v>
      </c>
      <c r="AM5" s="40">
        <f t="shared" si="0"/>
        <v>46064</v>
      </c>
      <c r="AN5" s="40">
        <f t="shared" si="0"/>
        <v>46065</v>
      </c>
      <c r="AO5" s="40">
        <f t="shared" si="0"/>
        <v>46066</v>
      </c>
      <c r="AP5" s="40">
        <f t="shared" si="0"/>
        <v>46067</v>
      </c>
      <c r="AQ5" s="41">
        <f t="shared" si="0"/>
        <v>46068</v>
      </c>
      <c r="AR5" s="39">
        <f>AQ5+1</f>
        <v>46069</v>
      </c>
      <c r="AS5" s="40">
        <f>AR5+1</f>
        <v>46070</v>
      </c>
      <c r="AT5" s="40">
        <f t="shared" si="0"/>
        <v>46071</v>
      </c>
      <c r="AU5" s="40">
        <f t="shared" si="0"/>
        <v>46072</v>
      </c>
      <c r="AV5" s="40">
        <f t="shared" si="0"/>
        <v>46073</v>
      </c>
      <c r="AW5" s="40">
        <f t="shared" si="0"/>
        <v>46074</v>
      </c>
      <c r="AX5" s="41">
        <f t="shared" si="0"/>
        <v>46075</v>
      </c>
      <c r="AY5" s="39">
        <f>AX5+1</f>
        <v>46076</v>
      </c>
      <c r="AZ5" s="40">
        <f>AY5+1</f>
        <v>46077</v>
      </c>
      <c r="BA5" s="40">
        <f t="shared" ref="BA5:BE5" si="1">AZ5+1</f>
        <v>46078</v>
      </c>
      <c r="BB5" s="40">
        <f t="shared" si="1"/>
        <v>46079</v>
      </c>
      <c r="BC5" s="40">
        <f t="shared" si="1"/>
        <v>46080</v>
      </c>
      <c r="BD5" s="40">
        <f t="shared" si="1"/>
        <v>46081</v>
      </c>
      <c r="BE5" s="41">
        <f t="shared" si="1"/>
        <v>46082</v>
      </c>
      <c r="BF5" s="39">
        <f>BE5+1</f>
        <v>46083</v>
      </c>
      <c r="BG5" s="40">
        <f>BF5+1</f>
        <v>46084</v>
      </c>
      <c r="BH5" s="40">
        <f t="shared" ref="BH5:BL5" si="2">BG5+1</f>
        <v>46085</v>
      </c>
      <c r="BI5" s="40">
        <f t="shared" si="2"/>
        <v>46086</v>
      </c>
      <c r="BJ5" s="40">
        <f t="shared" si="2"/>
        <v>46087</v>
      </c>
      <c r="BK5" s="40">
        <f t="shared" si="2"/>
        <v>46088</v>
      </c>
      <c r="BL5" s="41">
        <f t="shared" si="2"/>
        <v>46089</v>
      </c>
    </row>
    <row r="6" spans="1:64" ht="30" customHeight="1" thickBot="1" x14ac:dyDescent="0.3">
      <c r="A6" s="15" t="s">
        <v>5</v>
      </c>
      <c r="B6" s="42" t="s">
        <v>10</v>
      </c>
      <c r="C6" s="43" t="s">
        <v>13</v>
      </c>
      <c r="D6" s="43" t="s">
        <v>14</v>
      </c>
      <c r="E6" s="43" t="s">
        <v>15</v>
      </c>
      <c r="F6" s="43" t="s">
        <v>16</v>
      </c>
      <c r="G6" s="43"/>
      <c r="H6" s="43" t="s">
        <v>17</v>
      </c>
      <c r="I6" s="44" t="str">
        <f t="shared" ref="I6:AN6" si="3">LEFT(TEXT(I5,"jjj"),1)</f>
        <v>l</v>
      </c>
      <c r="J6" s="44" t="str">
        <f>LEFT(TEXT(J5,"jjj"),1)</f>
        <v>m</v>
      </c>
      <c r="K6" s="44" t="str">
        <f t="shared" si="3"/>
        <v>m</v>
      </c>
      <c r="L6" s="44" t="str">
        <f t="shared" si="3"/>
        <v>j</v>
      </c>
      <c r="M6" s="44" t="str">
        <f t="shared" si="3"/>
        <v>v</v>
      </c>
      <c r="N6" s="44" t="str">
        <f t="shared" si="3"/>
        <v>s</v>
      </c>
      <c r="O6" s="44" t="str">
        <f t="shared" si="3"/>
        <v>d</v>
      </c>
      <c r="P6" s="44" t="str">
        <f t="shared" si="3"/>
        <v>l</v>
      </c>
      <c r="Q6" s="44" t="str">
        <f t="shared" si="3"/>
        <v>m</v>
      </c>
      <c r="R6" s="44" t="str">
        <f t="shared" si="3"/>
        <v>m</v>
      </c>
      <c r="S6" s="44" t="str">
        <f t="shared" si="3"/>
        <v>j</v>
      </c>
      <c r="T6" s="44" t="str">
        <f t="shared" si="3"/>
        <v>v</v>
      </c>
      <c r="U6" s="44" t="str">
        <f t="shared" si="3"/>
        <v>s</v>
      </c>
      <c r="V6" s="44" t="str">
        <f t="shared" si="3"/>
        <v>d</v>
      </c>
      <c r="W6" s="44" t="str">
        <f t="shared" si="3"/>
        <v>l</v>
      </c>
      <c r="X6" s="44" t="str">
        <f t="shared" si="3"/>
        <v>m</v>
      </c>
      <c r="Y6" s="44" t="str">
        <f t="shared" si="3"/>
        <v>m</v>
      </c>
      <c r="Z6" s="44" t="str">
        <f t="shared" si="3"/>
        <v>j</v>
      </c>
      <c r="AA6" s="44" t="str">
        <f t="shared" si="3"/>
        <v>v</v>
      </c>
      <c r="AB6" s="44" t="str">
        <f t="shared" si="3"/>
        <v>s</v>
      </c>
      <c r="AC6" s="44" t="str">
        <f t="shared" si="3"/>
        <v>d</v>
      </c>
      <c r="AD6" s="44" t="str">
        <f t="shared" si="3"/>
        <v>l</v>
      </c>
      <c r="AE6" s="44" t="str">
        <f t="shared" si="3"/>
        <v>m</v>
      </c>
      <c r="AF6" s="44" t="str">
        <f t="shared" si="3"/>
        <v>m</v>
      </c>
      <c r="AG6" s="44" t="str">
        <f t="shared" si="3"/>
        <v>j</v>
      </c>
      <c r="AH6" s="44" t="str">
        <f t="shared" si="3"/>
        <v>v</v>
      </c>
      <c r="AI6" s="44" t="str">
        <f t="shared" si="3"/>
        <v>s</v>
      </c>
      <c r="AJ6" s="44" t="str">
        <f t="shared" si="3"/>
        <v>d</v>
      </c>
      <c r="AK6" s="44" t="str">
        <f t="shared" si="3"/>
        <v>l</v>
      </c>
      <c r="AL6" s="44" t="str">
        <f t="shared" si="3"/>
        <v>m</v>
      </c>
      <c r="AM6" s="44" t="str">
        <f t="shared" si="3"/>
        <v>m</v>
      </c>
      <c r="AN6" s="44" t="str">
        <f t="shared" si="3"/>
        <v>j</v>
      </c>
      <c r="AO6" s="44" t="str">
        <f t="shared" ref="AO6:BL6" si="4">LEFT(TEXT(AO5,"jjj"),1)</f>
        <v>v</v>
      </c>
      <c r="AP6" s="44" t="str">
        <f t="shared" si="4"/>
        <v>s</v>
      </c>
      <c r="AQ6" s="44" t="str">
        <f t="shared" si="4"/>
        <v>d</v>
      </c>
      <c r="AR6" s="44" t="str">
        <f t="shared" si="4"/>
        <v>l</v>
      </c>
      <c r="AS6" s="44" t="str">
        <f t="shared" si="4"/>
        <v>m</v>
      </c>
      <c r="AT6" s="44" t="str">
        <f t="shared" si="4"/>
        <v>m</v>
      </c>
      <c r="AU6" s="44" t="str">
        <f t="shared" si="4"/>
        <v>j</v>
      </c>
      <c r="AV6" s="44" t="str">
        <f t="shared" si="4"/>
        <v>v</v>
      </c>
      <c r="AW6" s="44" t="str">
        <f t="shared" si="4"/>
        <v>s</v>
      </c>
      <c r="AX6" s="44" t="str">
        <f t="shared" si="4"/>
        <v>d</v>
      </c>
      <c r="AY6" s="44" t="str">
        <f t="shared" si="4"/>
        <v>l</v>
      </c>
      <c r="AZ6" s="44" t="str">
        <f t="shared" si="4"/>
        <v>m</v>
      </c>
      <c r="BA6" s="44" t="str">
        <f t="shared" si="4"/>
        <v>m</v>
      </c>
      <c r="BB6" s="44" t="str">
        <f t="shared" si="4"/>
        <v>j</v>
      </c>
      <c r="BC6" s="44" t="str">
        <f t="shared" si="4"/>
        <v>v</v>
      </c>
      <c r="BD6" s="44" t="str">
        <f t="shared" si="4"/>
        <v>s</v>
      </c>
      <c r="BE6" s="44" t="str">
        <f t="shared" si="4"/>
        <v>d</v>
      </c>
      <c r="BF6" s="44" t="str">
        <f t="shared" si="4"/>
        <v>l</v>
      </c>
      <c r="BG6" s="44" t="str">
        <f t="shared" si="4"/>
        <v>m</v>
      </c>
      <c r="BH6" s="44" t="str">
        <f t="shared" si="4"/>
        <v>m</v>
      </c>
      <c r="BI6" s="44" t="str">
        <f t="shared" si="4"/>
        <v>j</v>
      </c>
      <c r="BJ6" s="44" t="str">
        <f t="shared" si="4"/>
        <v>v</v>
      </c>
      <c r="BK6" s="44" t="str">
        <f t="shared" si="4"/>
        <v>s</v>
      </c>
      <c r="BL6" s="44" t="str">
        <f t="shared" si="4"/>
        <v>d</v>
      </c>
    </row>
    <row r="7" spans="1:64" ht="15.75" hidden="1" thickBot="1" x14ac:dyDescent="0.3">
      <c r="A7" s="14" t="s">
        <v>6</v>
      </c>
      <c r="B7" s="31"/>
      <c r="C7" s="45"/>
      <c r="D7" s="31"/>
      <c r="E7" s="31"/>
      <c r="F7" s="31"/>
      <c r="G7" s="31"/>
      <c r="H7" s="31" t="str">
        <f>IF(OR(ISBLANK(début_tâche),ISBLANK(fin_tâche)),"",fin_tâche-début_tâche+1)</f>
        <v/>
      </c>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row>
    <row r="8" spans="1:64" s="2" customFormat="1" ht="30" customHeight="1" thickBot="1" x14ac:dyDescent="0.3">
      <c r="A8" s="15" t="s">
        <v>7</v>
      </c>
      <c r="B8" s="47" t="s">
        <v>60</v>
      </c>
      <c r="C8" s="48"/>
      <c r="D8" s="49"/>
      <c r="E8" s="50">
        <v>46035</v>
      </c>
      <c r="F8" s="51">
        <v>46063</v>
      </c>
      <c r="G8" s="52"/>
      <c r="H8" s="52">
        <f t="shared" ref="H8:H30" si="5">IF(OR(ISBLANK(début_tâche),ISBLANK(fin_tâche)),"",fin_tâche-début_tâche+1)</f>
        <v>29</v>
      </c>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row>
    <row r="9" spans="1:64" s="2" customFormat="1" ht="111" customHeight="1" thickBot="1" x14ac:dyDescent="0.3">
      <c r="A9" s="15"/>
      <c r="B9" s="82" t="s">
        <v>48</v>
      </c>
      <c r="C9" s="82"/>
      <c r="D9" s="82"/>
      <c r="E9" s="82"/>
      <c r="F9" s="82"/>
      <c r="G9" s="52"/>
      <c r="H9" s="52" t="str">
        <f t="shared" si="5"/>
        <v/>
      </c>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row>
    <row r="10" spans="1:64" s="2" customFormat="1" ht="30" customHeight="1" thickBot="1" x14ac:dyDescent="0.3">
      <c r="A10" s="15" t="s">
        <v>8</v>
      </c>
      <c r="B10" s="53" t="s">
        <v>33</v>
      </c>
      <c r="C10" s="54"/>
      <c r="D10" s="55"/>
      <c r="E10" s="56">
        <v>46047</v>
      </c>
      <c r="F10" s="57">
        <v>46056</v>
      </c>
      <c r="G10" s="52"/>
      <c r="H10" s="52">
        <f t="shared" si="5"/>
        <v>10</v>
      </c>
      <c r="I10" s="46"/>
      <c r="J10" s="46"/>
      <c r="K10" s="46"/>
      <c r="L10" s="46"/>
      <c r="M10" s="46"/>
      <c r="N10" s="46"/>
      <c r="O10" s="46"/>
      <c r="P10" s="46"/>
      <c r="Q10" s="46"/>
      <c r="R10" s="46"/>
      <c r="S10" s="46"/>
      <c r="T10" s="46"/>
      <c r="U10" s="58"/>
      <c r="V10" s="58"/>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row>
    <row r="11" spans="1:64" s="2" customFormat="1" ht="85.5" customHeight="1" thickBot="1" x14ac:dyDescent="0.3">
      <c r="A11" s="14"/>
      <c r="B11" s="80" t="s">
        <v>44</v>
      </c>
      <c r="C11" s="80"/>
      <c r="D11" s="80"/>
      <c r="E11" s="80"/>
      <c r="F11" s="80"/>
      <c r="G11" s="52"/>
      <c r="H11" s="52" t="str">
        <f t="shared" si="5"/>
        <v/>
      </c>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row>
    <row r="12" spans="1:64" s="2" customFormat="1" ht="98.25" customHeight="1" thickBot="1" x14ac:dyDescent="0.3">
      <c r="A12" s="14"/>
      <c r="B12" s="80" t="s">
        <v>45</v>
      </c>
      <c r="C12" s="80"/>
      <c r="D12" s="80"/>
      <c r="E12" s="80"/>
      <c r="F12" s="80"/>
      <c r="G12" s="52"/>
      <c r="H12" s="52" t="str">
        <f t="shared" si="5"/>
        <v/>
      </c>
      <c r="I12" s="46"/>
      <c r="J12" s="46"/>
      <c r="K12" s="46"/>
      <c r="L12" s="46"/>
      <c r="M12" s="46"/>
      <c r="N12" s="46"/>
      <c r="O12" s="46"/>
      <c r="P12" s="46"/>
      <c r="Q12" s="46"/>
      <c r="R12" s="46"/>
      <c r="S12" s="46"/>
      <c r="T12" s="46"/>
      <c r="U12" s="46"/>
      <c r="V12" s="46"/>
      <c r="W12" s="46"/>
      <c r="X12" s="46"/>
      <c r="Y12" s="58"/>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row>
    <row r="13" spans="1:64" s="2" customFormat="1" ht="99" customHeight="1" thickBot="1" x14ac:dyDescent="0.3">
      <c r="A13" s="14"/>
      <c r="B13" s="80" t="s">
        <v>46</v>
      </c>
      <c r="C13" s="80"/>
      <c r="D13" s="80"/>
      <c r="E13" s="80"/>
      <c r="F13" s="80"/>
      <c r="G13" s="52"/>
      <c r="H13" s="52" t="str">
        <f t="shared" si="5"/>
        <v/>
      </c>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row>
    <row r="14" spans="1:64" s="2" customFormat="1" ht="156" customHeight="1" thickBot="1" x14ac:dyDescent="0.3">
      <c r="A14" s="15" t="s">
        <v>9</v>
      </c>
      <c r="B14" s="80" t="s">
        <v>47</v>
      </c>
      <c r="C14" s="80"/>
      <c r="D14" s="80"/>
      <c r="E14" s="80"/>
      <c r="F14" s="80"/>
      <c r="G14" s="52"/>
      <c r="H14" s="52" t="str">
        <f t="shared" si="5"/>
        <v/>
      </c>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row>
    <row r="15" spans="1:64" s="2" customFormat="1" ht="26.25" customHeight="1" thickBot="1" x14ac:dyDescent="0.3">
      <c r="A15" s="14"/>
      <c r="B15" s="59" t="s">
        <v>37</v>
      </c>
      <c r="C15" s="60"/>
      <c r="D15" s="61"/>
      <c r="E15" s="56">
        <v>46047</v>
      </c>
      <c r="F15" s="57">
        <v>46056</v>
      </c>
      <c r="G15" s="52"/>
      <c r="H15" s="52">
        <f t="shared" si="5"/>
        <v>10</v>
      </c>
      <c r="I15" s="46"/>
      <c r="J15" s="46"/>
      <c r="K15" s="46"/>
      <c r="L15" s="46"/>
      <c r="M15" s="46"/>
      <c r="N15" s="46"/>
      <c r="O15" s="46"/>
      <c r="P15" s="46"/>
      <c r="Q15" s="46"/>
      <c r="R15" s="46"/>
      <c r="S15" s="46"/>
      <c r="T15" s="46"/>
      <c r="U15" s="58"/>
      <c r="V15" s="62"/>
      <c r="W15" s="63"/>
      <c r="X15" s="63"/>
      <c r="Y15" s="63"/>
      <c r="Z15" s="63"/>
      <c r="AA15" s="63"/>
      <c r="AB15" s="63"/>
      <c r="AC15" s="63"/>
      <c r="AD15" s="63" t="s">
        <v>55</v>
      </c>
      <c r="AE15" s="63"/>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row>
    <row r="16" spans="1:64" s="2" customFormat="1" ht="123" customHeight="1" thickBot="1" x14ac:dyDescent="0.3">
      <c r="A16" s="14"/>
      <c r="B16" s="81" t="s">
        <v>49</v>
      </c>
      <c r="C16" s="81"/>
      <c r="D16" s="81"/>
      <c r="E16" s="81"/>
      <c r="F16" s="81"/>
      <c r="G16" s="52"/>
      <c r="H16" s="52" t="str">
        <f t="shared" si="5"/>
        <v/>
      </c>
      <c r="I16" s="46"/>
      <c r="J16" s="46"/>
      <c r="K16" s="46"/>
      <c r="L16" s="46"/>
      <c r="M16" s="46"/>
      <c r="N16" s="46"/>
      <c r="O16" s="46"/>
      <c r="P16" s="46"/>
      <c r="Q16" s="46"/>
      <c r="R16" s="46"/>
      <c r="S16" s="46"/>
      <c r="T16" s="46"/>
      <c r="U16" s="46"/>
      <c r="V16" s="64"/>
      <c r="W16" s="64"/>
      <c r="X16" s="64"/>
      <c r="Y16" s="64"/>
      <c r="Z16" s="64"/>
      <c r="AA16" s="64"/>
      <c r="AB16" s="64"/>
      <c r="AC16" s="64"/>
      <c r="AD16" s="64"/>
      <c r="AE16" s="64"/>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row>
    <row r="17" spans="1:88" s="2" customFormat="1" ht="30" customHeight="1" thickBot="1" x14ac:dyDescent="0.3">
      <c r="A17" s="14"/>
      <c r="B17" s="65" t="s">
        <v>38</v>
      </c>
      <c r="C17" s="66"/>
      <c r="D17" s="67"/>
      <c r="E17" s="56">
        <v>46047</v>
      </c>
      <c r="F17" s="57">
        <v>46056</v>
      </c>
      <c r="G17" s="52"/>
      <c r="H17" s="52">
        <f t="shared" si="5"/>
        <v>10</v>
      </c>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row>
    <row r="18" spans="1:88" s="2" customFormat="1" ht="98.25" customHeight="1" thickBot="1" x14ac:dyDescent="0.3">
      <c r="A18" s="14"/>
      <c r="B18" s="83" t="s">
        <v>50</v>
      </c>
      <c r="C18" s="83"/>
      <c r="D18" s="83"/>
      <c r="E18" s="68"/>
      <c r="F18" s="68"/>
      <c r="G18" s="52"/>
      <c r="H18" s="52" t="str">
        <f t="shared" si="5"/>
        <v/>
      </c>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row>
    <row r="19" spans="1:88" s="2" customFormat="1" ht="30" customHeight="1" thickBot="1" x14ac:dyDescent="0.3">
      <c r="A19" s="14"/>
      <c r="B19" s="47" t="s">
        <v>39</v>
      </c>
      <c r="C19" s="48"/>
      <c r="D19" s="49"/>
      <c r="E19" s="50">
        <v>46054</v>
      </c>
      <c r="F19" s="51">
        <v>46062</v>
      </c>
      <c r="G19" s="52"/>
      <c r="H19" s="52">
        <f t="shared" si="5"/>
        <v>9</v>
      </c>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U19" s="17"/>
      <c r="CJ19" s="18"/>
    </row>
    <row r="20" spans="1:88" s="2" customFormat="1" ht="30" customHeight="1" thickBot="1" x14ac:dyDescent="0.3">
      <c r="A20" s="14"/>
      <c r="B20" s="84" t="s">
        <v>51</v>
      </c>
      <c r="C20" s="84"/>
      <c r="D20" s="84"/>
      <c r="E20" s="69"/>
      <c r="F20" s="69"/>
      <c r="G20" s="52"/>
      <c r="H20" s="52" t="str">
        <f t="shared" si="5"/>
        <v/>
      </c>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U20" s="17"/>
      <c r="CJ20" s="18"/>
    </row>
    <row r="21" spans="1:88" s="2" customFormat="1" ht="51" customHeight="1" thickBot="1" x14ac:dyDescent="0.3">
      <c r="A21" s="14"/>
      <c r="B21" s="84" t="s">
        <v>52</v>
      </c>
      <c r="C21" s="84"/>
      <c r="D21" s="84"/>
      <c r="E21" s="69"/>
      <c r="F21" s="69"/>
      <c r="G21" s="52"/>
      <c r="H21" s="52" t="str">
        <f t="shared" si="5"/>
        <v/>
      </c>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U21" s="17"/>
      <c r="CJ21" s="18"/>
    </row>
    <row r="22" spans="1:88" s="2" customFormat="1" ht="30" customHeight="1" thickBot="1" x14ac:dyDescent="0.3">
      <c r="A22" s="15" t="s">
        <v>8</v>
      </c>
      <c r="B22" s="53" t="s">
        <v>40</v>
      </c>
      <c r="C22" s="54"/>
      <c r="D22" s="55"/>
      <c r="E22" s="50">
        <v>46054</v>
      </c>
      <c r="F22" s="51">
        <v>46062</v>
      </c>
      <c r="G22" s="52"/>
      <c r="H22" s="52">
        <f t="shared" si="5"/>
        <v>9</v>
      </c>
      <c r="I22" s="46"/>
      <c r="J22" s="46"/>
      <c r="K22" s="46"/>
      <c r="L22" s="46"/>
      <c r="M22" s="46"/>
      <c r="N22" s="46"/>
      <c r="O22" s="46"/>
      <c r="P22" s="46"/>
      <c r="Q22" s="46"/>
      <c r="R22" s="46"/>
      <c r="S22" s="46"/>
      <c r="T22" s="46"/>
      <c r="U22" s="58"/>
      <c r="V22" s="58"/>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U22" s="17"/>
      <c r="CJ22" s="18"/>
    </row>
    <row r="23" spans="1:88" s="23" customFormat="1" ht="30" customHeight="1" thickBot="1" x14ac:dyDescent="0.3">
      <c r="A23" s="22"/>
      <c r="B23" s="80" t="s">
        <v>53</v>
      </c>
      <c r="C23" s="80"/>
      <c r="D23" s="80"/>
      <c r="E23" s="70"/>
      <c r="F23" s="70"/>
      <c r="G23" s="71"/>
      <c r="H23" s="71" t="str">
        <f t="shared" si="5"/>
        <v/>
      </c>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U23" s="24"/>
      <c r="CJ23" s="25"/>
    </row>
    <row r="24" spans="1:88" s="23" customFormat="1" ht="50.25" customHeight="1" thickBot="1" x14ac:dyDescent="0.3">
      <c r="A24" s="22"/>
      <c r="B24" s="80" t="s">
        <v>54</v>
      </c>
      <c r="C24" s="80"/>
      <c r="D24" s="80"/>
      <c r="E24" s="70"/>
      <c r="F24" s="70"/>
      <c r="G24" s="71"/>
      <c r="H24" s="71" t="str">
        <f t="shared" si="5"/>
        <v/>
      </c>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U24" s="24"/>
      <c r="CJ24" s="25"/>
    </row>
    <row r="25" spans="1:88" s="2" customFormat="1" ht="30" customHeight="1" thickBot="1" x14ac:dyDescent="0.3">
      <c r="A25" s="14"/>
      <c r="B25" s="59" t="s">
        <v>41</v>
      </c>
      <c r="C25" s="60"/>
      <c r="D25" s="61"/>
      <c r="E25" s="50">
        <v>46054</v>
      </c>
      <c r="F25" s="51">
        <v>46062</v>
      </c>
      <c r="G25" s="52"/>
      <c r="H25" s="52">
        <f t="shared" si="5"/>
        <v>9</v>
      </c>
      <c r="I25" s="46"/>
      <c r="J25" s="46"/>
      <c r="K25" s="46"/>
      <c r="L25" s="46"/>
      <c r="M25" s="46"/>
      <c r="N25" s="46"/>
      <c r="O25" s="46"/>
      <c r="P25" s="46"/>
      <c r="Q25" s="46"/>
      <c r="R25" s="46"/>
      <c r="S25" s="46"/>
      <c r="T25" s="46"/>
      <c r="U25" s="58"/>
      <c r="V25" s="58"/>
      <c r="W25" s="46"/>
      <c r="X25" s="46"/>
      <c r="Y25" s="46"/>
      <c r="Z25" s="46"/>
      <c r="AA25" s="46"/>
      <c r="AB25" s="46"/>
      <c r="AC25" s="73"/>
      <c r="AD25" s="73"/>
      <c r="AE25" s="73"/>
      <c r="AF25" s="73"/>
      <c r="AG25" s="73"/>
      <c r="AH25" s="73"/>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R25" s="2" t="s">
        <v>43</v>
      </c>
      <c r="BU25" s="17"/>
      <c r="CJ25" s="18"/>
    </row>
    <row r="26" spans="1:88" s="2" customFormat="1" ht="61.5" customHeight="1" thickBot="1" x14ac:dyDescent="0.3">
      <c r="A26" s="14"/>
      <c r="B26" s="81" t="s">
        <v>56</v>
      </c>
      <c r="C26" s="81"/>
      <c r="D26" s="81"/>
      <c r="E26" s="74"/>
      <c r="F26" s="74"/>
      <c r="G26" s="52"/>
      <c r="H26" s="52" t="str">
        <f t="shared" si="5"/>
        <v/>
      </c>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U26" s="17"/>
      <c r="CJ26" s="18"/>
    </row>
    <row r="27" spans="1:88" s="2" customFormat="1" ht="109.5" customHeight="1" thickBot="1" x14ac:dyDescent="0.3">
      <c r="A27" s="14"/>
      <c r="B27" s="81" t="s">
        <v>57</v>
      </c>
      <c r="C27" s="81"/>
      <c r="D27" s="81"/>
      <c r="E27" s="74"/>
      <c r="F27" s="74"/>
      <c r="G27" s="52"/>
      <c r="H27" s="52" t="str">
        <f t="shared" si="5"/>
        <v/>
      </c>
      <c r="I27" s="46"/>
      <c r="J27" s="46"/>
      <c r="K27" s="46"/>
      <c r="L27" s="46"/>
      <c r="M27" s="46"/>
      <c r="N27" s="46"/>
      <c r="O27" s="46"/>
      <c r="P27" s="46"/>
      <c r="Q27" s="46"/>
      <c r="R27" s="46"/>
      <c r="S27" s="46"/>
      <c r="T27" s="46"/>
      <c r="U27" s="46"/>
      <c r="V27" s="46"/>
      <c r="W27" s="46"/>
      <c r="X27" s="46"/>
      <c r="Y27" s="58"/>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U27" s="17"/>
      <c r="CJ27" s="18"/>
    </row>
    <row r="28" spans="1:88" s="2" customFormat="1" ht="30" customHeight="1" thickBot="1" x14ac:dyDescent="0.3">
      <c r="A28" s="14"/>
      <c r="B28" s="65" t="s">
        <v>42</v>
      </c>
      <c r="C28" s="66"/>
      <c r="D28" s="67"/>
      <c r="E28" s="50">
        <v>46054</v>
      </c>
      <c r="F28" s="51">
        <v>46062</v>
      </c>
      <c r="G28" s="52"/>
      <c r="H28" s="52">
        <f t="shared" si="5"/>
        <v>9</v>
      </c>
      <c r="I28" s="46"/>
      <c r="J28" s="46"/>
      <c r="K28" s="46"/>
      <c r="L28" s="46"/>
      <c r="M28" s="46"/>
      <c r="N28" s="46"/>
      <c r="O28" s="46"/>
      <c r="P28" s="46"/>
      <c r="Q28" s="46"/>
      <c r="R28" s="46"/>
      <c r="S28" s="46"/>
      <c r="T28" s="46"/>
      <c r="U28" s="46"/>
      <c r="V28" s="46"/>
      <c r="W28" s="46"/>
      <c r="X28" s="46"/>
      <c r="Y28" s="46"/>
      <c r="Z28" s="46"/>
      <c r="AA28" s="46"/>
      <c r="AB28" s="46"/>
      <c r="AC28" s="73"/>
      <c r="AD28" s="73"/>
      <c r="AE28" s="73"/>
      <c r="AF28" s="73"/>
      <c r="AG28" s="73"/>
      <c r="AH28" s="73"/>
      <c r="AI28" s="73"/>
      <c r="AJ28" s="73"/>
      <c r="AK28" s="73"/>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U28" s="19"/>
      <c r="BV28" s="20"/>
      <c r="BW28" s="20"/>
      <c r="BX28" s="20"/>
      <c r="BY28" s="20"/>
      <c r="BZ28" s="20"/>
      <c r="CA28" s="20"/>
      <c r="CB28" s="20"/>
      <c r="CC28" s="20"/>
      <c r="CD28" s="20"/>
      <c r="CE28" s="20"/>
      <c r="CF28" s="20"/>
      <c r="CG28" s="20"/>
      <c r="CH28" s="20"/>
      <c r="CI28" s="20"/>
      <c r="CJ28" s="21"/>
    </row>
    <row r="29" spans="1:88" s="2" customFormat="1" ht="90" customHeight="1" thickBot="1" x14ac:dyDescent="0.3">
      <c r="A29" s="14"/>
      <c r="B29" s="79" t="s">
        <v>58</v>
      </c>
      <c r="C29" s="79"/>
      <c r="D29" s="79"/>
      <c r="E29" s="68"/>
      <c r="F29" s="68"/>
      <c r="G29" s="52"/>
      <c r="H29" s="52" t="str">
        <f t="shared" si="5"/>
        <v/>
      </c>
      <c r="I29" s="46"/>
      <c r="J29" s="46"/>
      <c r="K29" s="46"/>
      <c r="L29" s="46"/>
      <c r="M29" s="46"/>
      <c r="N29" s="46"/>
      <c r="O29" s="46"/>
      <c r="P29" s="46"/>
      <c r="Q29" s="46"/>
      <c r="R29" s="46"/>
      <c r="S29" s="46"/>
      <c r="T29" s="46"/>
      <c r="U29" s="46"/>
      <c r="V29" s="46"/>
      <c r="W29" s="46"/>
      <c r="X29" s="46"/>
      <c r="Y29" s="46"/>
      <c r="Z29" s="75"/>
      <c r="AA29" s="75"/>
      <c r="AB29" s="75"/>
      <c r="AC29" s="75"/>
      <c r="AD29" s="75"/>
      <c r="AE29" s="75"/>
      <c r="AF29" s="75"/>
      <c r="AG29" s="75"/>
      <c r="AH29" s="75"/>
      <c r="AI29" s="75"/>
      <c r="AJ29" s="75"/>
      <c r="AK29" s="75"/>
      <c r="AL29" s="75"/>
      <c r="AM29" s="75"/>
      <c r="AN29" s="75"/>
      <c r="AO29" s="75"/>
      <c r="AP29" s="75"/>
      <c r="AQ29" s="75"/>
      <c r="AR29" s="75"/>
      <c r="AS29" s="75"/>
      <c r="AT29" s="75"/>
      <c r="AU29" s="46"/>
      <c r="AV29" s="46"/>
      <c r="AW29" s="46"/>
      <c r="AX29" s="46"/>
      <c r="AY29" s="46"/>
      <c r="AZ29" s="46"/>
      <c r="BA29" s="46"/>
      <c r="BB29" s="46"/>
      <c r="BC29" s="46"/>
      <c r="BD29" s="46"/>
      <c r="BE29" s="46"/>
      <c r="BF29" s="46"/>
      <c r="BG29" s="46"/>
      <c r="BH29" s="46"/>
      <c r="BI29" s="46"/>
      <c r="BJ29" s="46"/>
      <c r="BK29" s="46"/>
      <c r="BL29" s="46"/>
      <c r="BU29" s="17"/>
      <c r="CJ29" s="18"/>
    </row>
    <row r="30" spans="1:88" s="2" customFormat="1" ht="116.25" customHeight="1" thickBot="1" x14ac:dyDescent="0.3">
      <c r="A30" s="14"/>
      <c r="B30" s="79" t="s">
        <v>59</v>
      </c>
      <c r="C30" s="79"/>
      <c r="D30" s="79"/>
      <c r="E30" s="68"/>
      <c r="F30" s="68"/>
      <c r="G30" s="52"/>
      <c r="H30" s="52" t="str">
        <f t="shared" si="5"/>
        <v/>
      </c>
      <c r="I30" s="46"/>
      <c r="J30" s="46"/>
      <c r="K30" s="46"/>
      <c r="L30" s="46"/>
      <c r="M30" s="46"/>
      <c r="N30" s="46"/>
      <c r="O30" s="46"/>
      <c r="P30" s="46"/>
      <c r="Q30" s="46"/>
      <c r="R30" s="46"/>
      <c r="S30" s="46"/>
      <c r="T30" s="46"/>
      <c r="U30" s="46"/>
      <c r="V30" s="46"/>
      <c r="W30" s="46"/>
      <c r="X30" s="46"/>
      <c r="Y30" s="76"/>
      <c r="Z30" s="77"/>
      <c r="AA30" s="77"/>
      <c r="AB30" s="77"/>
      <c r="AC30" s="77"/>
      <c r="AD30" s="77"/>
      <c r="AE30" s="77"/>
      <c r="AF30" s="77"/>
      <c r="AG30" s="77"/>
      <c r="AH30" s="77"/>
      <c r="AI30" s="77"/>
      <c r="AJ30" s="77"/>
      <c r="AK30" s="77"/>
      <c r="AL30" s="77"/>
      <c r="AM30" s="77"/>
      <c r="AN30" s="77"/>
      <c r="AO30" s="77"/>
      <c r="AP30" s="77"/>
      <c r="AQ30" s="77"/>
      <c r="AR30" s="77"/>
      <c r="AS30" s="77"/>
      <c r="AT30" s="77"/>
      <c r="AU30" s="78"/>
      <c r="AV30" s="46"/>
      <c r="AW30" s="46"/>
      <c r="AX30" s="46"/>
      <c r="AY30" s="46"/>
      <c r="AZ30" s="46"/>
      <c r="BA30" s="46"/>
      <c r="BB30" s="46"/>
      <c r="BC30" s="46"/>
      <c r="BD30" s="46"/>
      <c r="BE30" s="46"/>
      <c r="BF30" s="46"/>
      <c r="BG30" s="46"/>
      <c r="BH30" s="46"/>
      <c r="BI30" s="46"/>
      <c r="BJ30" s="46"/>
      <c r="BK30" s="46"/>
      <c r="BL30" s="46"/>
      <c r="BU30" s="17"/>
      <c r="CJ30" s="18"/>
    </row>
    <row r="31" spans="1:88" s="2" customFormat="1" ht="30" customHeight="1" x14ac:dyDescent="0.25">
      <c r="A31" s="14"/>
      <c r="B31"/>
      <c r="C31"/>
      <c r="D31"/>
      <c r="E31" s="3"/>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U31" s="17"/>
      <c r="CJ31" s="18"/>
    </row>
    <row r="32" spans="1:88" s="2" customFormat="1" ht="30" customHeight="1" x14ac:dyDescent="0.25">
      <c r="A32" s="14"/>
      <c r="B32"/>
      <c r="C32"/>
      <c r="D32"/>
      <c r="E32" s="3"/>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U32" s="17"/>
      <c r="CJ32" s="18"/>
    </row>
    <row r="33" spans="1:88" s="2" customFormat="1" ht="30" customHeight="1" x14ac:dyDescent="0.25">
      <c r="A33" s="14"/>
      <c r="B33"/>
      <c r="C33"/>
      <c r="D33"/>
      <c r="E33" s="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U33" s="19"/>
      <c r="BV33" s="20"/>
      <c r="BW33" s="20"/>
      <c r="BX33" s="20"/>
      <c r="BY33" s="20"/>
      <c r="BZ33" s="20"/>
      <c r="CA33" s="20"/>
      <c r="CB33" s="20"/>
      <c r="CC33" s="20"/>
      <c r="CD33" s="20"/>
      <c r="CE33" s="20"/>
      <c r="CF33" s="20"/>
      <c r="CG33" s="20"/>
      <c r="CH33" s="20"/>
      <c r="CI33" s="20"/>
      <c r="CJ33" s="21"/>
    </row>
    <row r="34" spans="1:88" s="2" customFormat="1" ht="30" customHeight="1" x14ac:dyDescent="0.25">
      <c r="A34" s="14"/>
      <c r="B34"/>
      <c r="C34"/>
      <c r="D34"/>
      <c r="E34" s="3"/>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row>
  </sheetData>
  <mergeCells count="26">
    <mergeCell ref="BF4:BL4"/>
    <mergeCell ref="E3:F3"/>
    <mergeCell ref="I4:O4"/>
    <mergeCell ref="P4:V4"/>
    <mergeCell ref="W4:AC4"/>
    <mergeCell ref="AD4:AJ4"/>
    <mergeCell ref="C3:D3"/>
    <mergeCell ref="C4:D4"/>
    <mergeCell ref="AK4:AQ4"/>
    <mergeCell ref="AR4:AX4"/>
    <mergeCell ref="AY4:BE4"/>
    <mergeCell ref="B9:F9"/>
    <mergeCell ref="B18:D18"/>
    <mergeCell ref="B20:D20"/>
    <mergeCell ref="B21:D21"/>
    <mergeCell ref="B11:F11"/>
    <mergeCell ref="B12:F12"/>
    <mergeCell ref="B13:F13"/>
    <mergeCell ref="B14:F14"/>
    <mergeCell ref="B29:D29"/>
    <mergeCell ref="B30:D30"/>
    <mergeCell ref="B23:D23"/>
    <mergeCell ref="B24:D24"/>
    <mergeCell ref="B16:F16"/>
    <mergeCell ref="B26:D26"/>
    <mergeCell ref="B27:D27"/>
  </mergeCells>
  <conditionalFormatting sqref="D7:D8 D10 D15 D17 D19 D22 D25 D28">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24 I25:AB25 AR25:BL25 I26:BL27 I28:AB28 AL28:AN28 AX28:BL28 I29:BL30">
    <cfRule type="expression" dxfId="8" priority="33">
      <formula>AND(TODAY()&gt;=I$5,TODAY()&lt;J$5)</formula>
    </cfRule>
  </conditionalFormatting>
  <conditionalFormatting sqref="I7:BL24 I25:AB25 AR25:BL25 I26:BL27 I28:AB28 AL28:AN28 AX28:BL28 I29:BL30">
    <cfRule type="expression" dxfId="7" priority="27">
      <formula>AND(début_tâche&lt;=I$5,ROUNDDOWN((fin_tâche-début_tâche+1)*avancement_tâche,0)+début_tâche-1&gt;=I$5)</formula>
    </cfRule>
    <cfRule type="expression" dxfId="6" priority="28" stopIfTrue="1">
      <formula>AND(fin_tâche&gt;=I$5,début_tâche&lt;J$5)</formula>
    </cfRule>
  </conditionalFormatting>
  <conditionalFormatting sqref="AI25:AQ25">
    <cfRule type="expression" dxfId="5" priority="60">
      <formula>AND(TODAY()&gt;=AC$5,TODAY()&lt;AD$5)</formula>
    </cfRule>
    <cfRule type="expression" dxfId="4" priority="64">
      <formula>AND(début_tâche&lt;=AC$5,ROUNDDOWN((fin_tâche-début_tâche+1)*avancement_tâche,0)+début_tâche-1&gt;=AC$5)</formula>
    </cfRule>
    <cfRule type="expression" dxfId="3" priority="65" stopIfTrue="1">
      <formula>AND(fin_tâche&gt;=AC$5,début_tâche&lt;AD$5)</formula>
    </cfRule>
  </conditionalFormatting>
  <conditionalFormatting sqref="AO28:AW28">
    <cfRule type="expression" dxfId="2" priority="67">
      <formula>AND(TODAY()&gt;=AC$5,TODAY()&lt;AD$5)</formula>
    </cfRule>
    <cfRule type="expression" dxfId="1" priority="70">
      <formula>AND(début_tâche&lt;=AC$5,ROUNDDOWN((fin_tâche-début_tâche+1)*avancement_tâche,0)+début_tâche-1&gt;=AC$5)</formula>
    </cfRule>
    <cfRule type="expression" dxfId="0" priority="71" stopIfTrue="1">
      <formula>AND(fin_tâche&gt;=AC$5,début_tâche&lt;AD$5)</formula>
    </cfRule>
  </conditionalFormatting>
  <dataValidations count="1">
    <dataValidation type="whole" operator="greaterThanOrEqual" allowBlank="1" showInputMessage="1" promptTitle="Semaine d’affichage" prompt="La modification de ce nombre entraînera la défilement du diagramme de Gantt." sqref="E4" xr:uid="{00000000-0002-0000-0000-000000000000}">
      <formula1>1</formula1>
    </dataValidation>
  </dataValidations>
  <hyperlinks>
    <hyperlink ref="I1" r:id="rId1" xr:uid="{00000000-0004-0000-0000-000001000000}"/>
  </hyperlinks>
  <printOptions horizontalCentered="1"/>
  <pageMargins left="0.35" right="0.35" top="0.35" bottom="0.5" header="0.3" footer="0.3"/>
  <pageSetup paperSize="9" scale="59" fitToHeight="0" orientation="landscape" r:id="rId2"/>
  <headerFooter differentFirst="1" scaleWithDoc="0">
    <oddFooter>Page &amp;P of &amp;N</oddFooter>
  </headerFooter>
  <colBreaks count="1" manualBreakCount="1">
    <brk id="2" max="1048575" man="1"/>
  </col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D7:D8 D10 D15 D17 D19 D22 D25 D28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40625" defaultRowHeight="12.75" x14ac:dyDescent="0.2"/>
  <cols>
    <col min="1" max="1" width="90.7109375" style="4" customWidth="1"/>
    <col min="2" max="16384" width="9.140625" style="1"/>
  </cols>
  <sheetData>
    <row r="1" spans="1:2" ht="46.5" customHeight="1" x14ac:dyDescent="0.2"/>
    <row r="2" spans="1:2" s="6" customFormat="1" ht="15.75" x14ac:dyDescent="0.25">
      <c r="A2" s="5" t="s">
        <v>18</v>
      </c>
      <c r="B2" s="5"/>
    </row>
    <row r="3" spans="1:2" s="10" customFormat="1" ht="27" customHeight="1" x14ac:dyDescent="0.25">
      <c r="A3" s="16" t="s">
        <v>19</v>
      </c>
      <c r="B3" s="11"/>
    </row>
    <row r="4" spans="1:2" s="7" customFormat="1" ht="26.25" x14ac:dyDescent="0.4">
      <c r="A4" s="8" t="s">
        <v>20</v>
      </c>
    </row>
    <row r="5" spans="1:2" ht="74.099999999999994" customHeight="1" x14ac:dyDescent="0.2">
      <c r="A5" s="9" t="s">
        <v>21</v>
      </c>
    </row>
    <row r="6" spans="1:2" ht="26.25" customHeight="1" x14ac:dyDescent="0.2">
      <c r="A6" s="8" t="s">
        <v>22</v>
      </c>
    </row>
    <row r="7" spans="1:2" s="4" customFormat="1" ht="204.95" customHeight="1" x14ac:dyDescent="0.25">
      <c r="A7" s="13" t="s">
        <v>23</v>
      </c>
    </row>
    <row r="8" spans="1:2" s="7" customFormat="1" ht="26.25" x14ac:dyDescent="0.4">
      <c r="A8" s="8" t="s">
        <v>24</v>
      </c>
    </row>
    <row r="9" spans="1:2" ht="75" x14ac:dyDescent="0.2">
      <c r="A9" s="9" t="s">
        <v>25</v>
      </c>
    </row>
    <row r="10" spans="1:2" s="4" customFormat="1" ht="27.95" customHeight="1" x14ac:dyDescent="0.25">
      <c r="A10" s="12" t="s">
        <v>26</v>
      </c>
    </row>
    <row r="11" spans="1:2" s="7" customFormat="1" ht="26.25" x14ac:dyDescent="0.4">
      <c r="A11" s="8" t="s">
        <v>27</v>
      </c>
    </row>
    <row r="12" spans="1:2" ht="30" x14ac:dyDescent="0.2">
      <c r="A12" s="9" t="s">
        <v>28</v>
      </c>
    </row>
    <row r="13" spans="1:2" s="4" customFormat="1" ht="27.95" customHeight="1" x14ac:dyDescent="0.25">
      <c r="A13" s="12" t="s">
        <v>29</v>
      </c>
    </row>
    <row r="14" spans="1:2" s="7" customFormat="1" ht="26.25" x14ac:dyDescent="0.4">
      <c r="A14" s="8" t="s">
        <v>30</v>
      </c>
    </row>
    <row r="15" spans="1:2" ht="88.5" customHeight="1" x14ac:dyDescent="0.2">
      <c r="A15" s="9" t="s">
        <v>31</v>
      </c>
    </row>
    <row r="16" spans="1:2" ht="96.75" customHeight="1" x14ac:dyDescent="0.2">
      <c r="A16" s="9" t="s">
        <v>32</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scale="94"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Feuilles de calcul</vt:lpstr>
      </vt:variant>
      <vt:variant>
        <vt:i4>2</vt:i4>
      </vt:variant>
      <vt:variant>
        <vt:lpstr>Plages nommées</vt:lpstr>
      </vt:variant>
      <vt:variant>
        <vt:i4>6</vt:i4>
      </vt:variant>
    </vt:vector>
  </HeadingPairs>
  <TitlesOfParts>
    <vt:vector size="8" baseType="lpstr">
      <vt:lpstr>PlanningProjet</vt:lpstr>
      <vt:lpstr>À propos de</vt:lpstr>
      <vt:lpstr>PlanningProjet!avancement_tâche</vt:lpstr>
      <vt:lpstr>Début_Projet</vt:lpstr>
      <vt:lpstr>PlanningProjet!début_tâche</vt:lpstr>
      <vt:lpstr>PlanningProjet!fin_tâche</vt:lpstr>
      <vt:lpstr>PlanningProjet!Impression_des_titres</vt:lpstr>
      <vt:lpstr>Semaine_Affichage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2026-01-29T14:03:12Z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