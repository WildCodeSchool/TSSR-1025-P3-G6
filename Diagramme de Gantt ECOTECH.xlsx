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13_ncr:1_{EFA68A2F-E5AF-4DD7-83B6-4CAE3124144B}" xr6:coauthVersionLast="47" xr6:coauthVersionMax="47" xr10:uidLastSave="{00000000-0000-0000-0000-000000000000}"/>
  <bookViews>
    <workbookView xWindow="-120" yWindow="-120" windowWidth="29040" windowHeight="15840"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PlanningProjet!$E$3</definedName>
    <definedName name="début_tâche" localSheetId="0">PlanningProjet!$E1</definedName>
    <definedName name="fin_tâche" localSheetId="0">PlanningProjet!$F1</definedName>
    <definedName name="_xlnm.Print_Titles" localSheetId="0">PlanningProjet!$4:$6</definedName>
    <definedName name="Semaine_Affichage">PlanningProjet!$E$4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0" i="11" l="1"/>
  <c r="H29" i="11"/>
  <c r="H28" i="11"/>
  <c r="H27" i="11"/>
  <c r="H26" i="11"/>
  <c r="H25" i="11"/>
  <c r="H24" i="11"/>
  <c r="H23" i="11"/>
  <c r="H22" i="11"/>
  <c r="H7" i="11"/>
  <c r="H17" i="11" l="1"/>
  <c r="I5" i="11"/>
  <c r="H21" i="11"/>
  <c r="H20" i="11"/>
  <c r="H19" i="11"/>
  <c r="H14" i="11"/>
  <c r="H8" i="11"/>
  <c r="I6" i="11" l="1"/>
  <c r="J5" i="11"/>
  <c r="J6" i="11" s="1"/>
  <c r="H9" i="11"/>
  <c r="H10" i="11" l="1"/>
  <c r="H18" i="11"/>
  <c r="H13" i="11"/>
  <c r="K5" i="11" l="1"/>
  <c r="L5" i="11" l="1"/>
  <c r="M5" i="11" l="1"/>
  <c r="N5" i="11" l="1"/>
  <c r="O5" i="11" l="1"/>
  <c r="P5" i="11" l="1"/>
  <c r="P6" i="11" s="1"/>
  <c r="O6" i="11"/>
  <c r="N6" i="11"/>
  <c r="M6" i="11"/>
  <c r="L6" i="11"/>
  <c r="K6" i="11"/>
  <c r="I4" i="11"/>
  <c r="H15" i="11" l="1"/>
  <c r="H11" i="11"/>
  <c r="H12" i="11"/>
  <c r="P4" i="11"/>
  <c r="Q5" i="11"/>
  <c r="R5" i="11" l="1"/>
  <c r="S5" i="11" l="1"/>
  <c r="T5" i="11" l="1"/>
  <c r="U5" i="11" l="1"/>
  <c r="V5" i="11" l="1"/>
  <c r="W5" i="11" l="1"/>
  <c r="W6" i="11" s="1"/>
  <c r="V6" i="11"/>
  <c r="U6" i="11"/>
  <c r="T6" i="11"/>
  <c r="S6" i="11"/>
  <c r="R6" i="11"/>
  <c r="Q6" i="11"/>
  <c r="H16" i="11"/>
  <c r="W4" i="11"/>
  <c r="X5" i="11"/>
  <c r="Y5" i="11" l="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l="1"/>
  <c r="BB6" i="11" s="1"/>
  <c r="BC5" i="11" l="1"/>
  <c r="BC6" i="11" s="1"/>
  <c r="BD5" i="11" l="1"/>
  <c r="BD6" i="11" s="1"/>
  <c r="BE5" i="11" l="1"/>
  <c r="BE6" i="11" s="1"/>
  <c r="BF5" i="11" l="1"/>
  <c r="BF6" i="11" s="1"/>
  <c r="BF4" i="11" l="1"/>
  <c r="BG5" i="11"/>
  <c r="BG6" i="11" s="1"/>
  <c r="BH5" i="11" l="1"/>
  <c r="BH6" i="11" s="1"/>
  <c r="BI5" i="11" l="1"/>
  <c r="BI6" i="11" s="1"/>
  <c r="BJ5" i="11" l="1"/>
  <c r="BJ6" i="11" s="1"/>
  <c r="BK5" i="11" l="1"/>
  <c r="BK6" i="11" s="1"/>
  <c r="BL5" i="11" l="1"/>
  <c r="BL6" i="11" s="1"/>
</calcChain>
</file>

<file path=xl/sharedStrings.xml><?xml version="1.0" encoding="utf-8"?>
<sst xmlns="http://schemas.openxmlformats.org/spreadsheetml/2006/main" count="63" uniqueCount="61">
  <si>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</si>
  <si>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</si>
  <si>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</si>
  <si>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</si>
  <si>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</si>
  <si>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</si>
  <si>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</si>
  <si>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</si>
  <si>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</si>
  <si>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</si>
  <si>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TÂCHE</t>
  </si>
  <si>
    <t>Début du projet :</t>
  </si>
  <si>
    <t>Semaine d’affichage :</t>
  </si>
  <si>
    <t>ATTRIBUÉE
À</t>
  </si>
  <si>
    <t>AVANCEMENT</t>
  </si>
  <si>
    <t>DÉBUT</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</si>
  <si>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</si>
  <si>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</si>
  <si>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</si>
  <si>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</si>
  <si>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</si>
  <si>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</si>
  <si>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</si>
  <si>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</si>
  <si>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</si>
  <si>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</si>
  <si>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</si>
  <si>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</si>
  <si>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</si>
  <si>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</si>
  <si>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</si>
  <si>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</si>
  <si>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</si>
  <si>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Domaine ADDS</t>
  </si>
  <si>
    <t>PROJET 3</t>
  </si>
  <si>
    <t>ECOTECH</t>
  </si>
  <si>
    <t>FIRSTINFO</t>
  </si>
  <si>
    <t>DNS</t>
  </si>
  <si>
    <t>DHCP</t>
  </si>
  <si>
    <t>GLPI</t>
  </si>
  <si>
    <t>WSUS</t>
  </si>
  <si>
    <t>VOIP</t>
  </si>
  <si>
    <t>MESSAGERIE</t>
  </si>
  <si>
    <t xml:space="preserve">                                                                                   </t>
  </si>
  <si>
    <t>TâcheOU
- Création de toutes les OU correspondantes aux noms des départements
- Mettre les utilisateurs crées dans les OU correspondantes 1</t>
  </si>
  <si>
    <t>Groupes
- Créer les groupes correspondants aux départements choisi
- Mettre les utilisateurs correspondant dans les groupes
- Implémentation de l'AGDLP</t>
  </si>
  <si>
    <t>Utilisateurs
- Création d'au moins 6 utilisateurs :
	- 2 avec la fonction **Manager** dans 2 départements différents
	- 2 utilisateurs "standard" dépendants d'un manager (donc 4 utilisateurs en tout)</t>
  </si>
  <si>
    <t>GPO
- Création des GPO suivantes :
	- Politique de mot de passe (complexité, longueur, etc.)
	- Verrouillage de compte (blocage de l'accès à la session après quelques erreur de mot de passe)
	- Blocage complet ou partiel au panneau de configuration
	- Gestion d'un compte du domaine qui est administrateur local des machines
	- Politique de sécurité PowerShell
- Créer 2 GPO supplémentaires au choix</t>
  </si>
  <si>
    <t>REGLES
- Mise en place de règles de pare-feu WAN, LAN, DMZ (ex.: https://docs.netgate.com/pfsense/en/latest/recipes/example-basic-configuration.html)
- Principe du **Deny All**</t>
  </si>
  <si>
    <t>Nom de la machine : SRVWIN01
- Rôles : DNS
- Création d'une zone directeMise en place d'une zone directe
- Création des enregistrement de type A pour les machines de l'infra
- Création des DNS forwarders</t>
  </si>
  <si>
    <t>Nom de la machine : SRVWIN01
Création d'1 plage DHCP pour le LAN</t>
  </si>
  <si>
    <t>Nom : SRVLX01 (ou machine indépendante GLPI01)
- OS : Debian CLI
- Installation de GLPI</t>
  </si>
  <si>
    <t>Accès en web depuis n'importe quel client sur la web GUI
- Mise en place d'une gestion de parc
- Mise en place d'un système de ticketing</t>
  </si>
  <si>
    <t>Nom de la machine : SRVWIN04
- Rôles : WSUS</t>
  </si>
  <si>
    <t>Création de groupe locaux WSUS
- Gestion de MAJ de sécurité par groupe</t>
  </si>
  <si>
    <t xml:space="preserve">  </t>
  </si>
  <si>
    <t>Nom de la machine : IPBX01
- Installation de FreePBX (https://www.freepbx.org/)</t>
  </si>
  <si>
    <t>Lignes VoIP
- Création de lignes VoIP pour les utilisateurs déjà créer
- Validation de communication téléphonique VoIP entre 2 clients VoIP sur serveur et client Windows
- Utilisation d'un softphone (comme 3CX)</t>
  </si>
  <si>
    <t>Nom de la machine : SRVLX01
- OS : Debian CLI
- Installation de :
	- Zimbra (https://www.zimbra.com/product/download/)
	- ou iRedMail (https://www.iredmail.org/)</t>
  </si>
  <si>
    <t xml:space="preserve">Boites mail
 - Création de boite mail pour les utilisateurs crées
- Connexion via client de messagerie local
- Validation d'envoie et de réception de mails entre 2 clients de messagerie sur serveur et client Windows
</t>
  </si>
  <si>
    <t>PARE FEU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</si>
</sst>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s>
  <fonts count="3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Courier New"/>
      <family val="3"/>
    </font>
    <font>
      <b/>
      <sz val="22"/>
      <color theme="1" tint="0.34998626667073579"/>
      <name val="Courier New"/>
      <family val="3"/>
    </font>
    <font>
      <b/>
      <sz val="20"/>
      <color theme="4" tint="-0.249977111117893"/>
      <name val="Courier New"/>
      <family val="3"/>
    </font>
    <font>
      <sz val="10"/>
      <name val="Courier New"/>
      <family val="3"/>
    </font>
    <font>
      <b/>
      <sz val="11"/>
      <name val="Courier New"/>
      <family val="3"/>
    </font>
    <font>
      <sz val="14"/>
      <color theme="1"/>
      <name val="Courier New"/>
      <family val="3"/>
    </font>
    <font>
      <sz val="9"/>
      <name val="Courier New"/>
      <family val="3"/>
    </font>
    <font>
      <b/>
      <sz val="9"/>
      <color theme="0"/>
      <name val="Courier New"/>
      <family val="3"/>
    </font>
    <font>
      <sz val="8"/>
      <color theme="0"/>
      <name val="Courier New"/>
      <family val="3"/>
    </font>
    <font>
      <b/>
      <sz val="11"/>
      <color theme="1"/>
      <name val="Courier New"/>
      <family val="3"/>
    </font>
    <font>
      <sz val="11"/>
      <name val="Courier New"/>
      <family val="3"/>
    </font>
  </fonts>
  <fills count="4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0"/>
        <bgColor indexed="64"/>
      </patternFill>
    </fill>
  </fills>
  <borders count="26">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s>
  <cellStyleXfs count="54">
    <xf numFmtId="0" fontId="0" fillId="0" borderId="0"/>
    <xf numFmtId="0" fontId="2" fillId="0" borderId="0" applyNumberFormat="0" applyFill="0" applyBorder="0" applyAlignment="0" applyProtection="0">
      <alignment vertical="top"/>
      <protection locked="0"/>
    </xf>
    <xf numFmtId="9" fontId="5" fillId="0" borderId="0" applyFont="0" applyFill="0" applyBorder="0" applyAlignment="0" applyProtection="0"/>
    <xf numFmtId="0" fontId="14" fillId="0" borderId="0"/>
    <xf numFmtId="165" fontId="5" fillId="0" borderId="3"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6" fontId="5" fillId="0" borderId="3">
      <alignment horizontal="center" vertical="center"/>
    </xf>
    <xf numFmtId="167" fontId="5" fillId="0" borderId="2" applyFill="0">
      <alignment horizontal="center" vertical="center"/>
    </xf>
    <xf numFmtId="0" fontId="5" fillId="0" borderId="2" applyFill="0">
      <alignment horizontal="center" vertical="center"/>
    </xf>
    <xf numFmtId="0" fontId="5" fillId="0" borderId="2" applyFill="0">
      <alignment horizontal="left" vertical="center" indent="2"/>
    </xf>
    <xf numFmtId="0" fontId="15" fillId="0" borderId="0" applyNumberForma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0" fontId="16" fillId="0" borderId="0" applyNumberFormat="0" applyFill="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20" fillId="16" borderId="11" applyNumberFormat="0" applyAlignment="0" applyProtection="0"/>
    <xf numFmtId="0" fontId="21" fillId="17" borderId="12" applyNumberFormat="0" applyAlignment="0" applyProtection="0"/>
    <xf numFmtId="0" fontId="22" fillId="17" borderId="11" applyNumberFormat="0" applyAlignment="0" applyProtection="0"/>
    <xf numFmtId="0" fontId="23" fillId="0" borderId="13" applyNumberFormat="0" applyFill="0" applyAlignment="0" applyProtection="0"/>
    <xf numFmtId="0" fontId="24" fillId="18" borderId="14" applyNumberFormat="0" applyAlignment="0" applyProtection="0"/>
    <xf numFmtId="0" fontId="25" fillId="0" borderId="0" applyNumberFormat="0" applyFill="0" applyBorder="0" applyAlignment="0" applyProtection="0"/>
    <xf numFmtId="0" fontId="5" fillId="19" borderId="15" applyNumberFormat="0" applyFont="0" applyAlignment="0" applyProtection="0"/>
    <xf numFmtId="0" fontId="26" fillId="0" borderId="0" applyNumberFormat="0" applyFill="0" applyBorder="0" applyAlignment="0" applyProtection="0"/>
    <xf numFmtId="0" fontId="4" fillId="0" borderId="16" applyNumberFormat="0" applyFill="0" applyAlignment="0" applyProtection="0"/>
    <xf numFmtId="0" fontId="14"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4"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4"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4"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14"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14" fillId="40"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cellStyleXfs>
  <cellXfs count="91">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1" fillId="0" borderId="0" xfId="0" applyFont="1" applyAlignment="1">
      <alignment vertical="top"/>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xf numFmtId="0" fontId="13" fillId="0" borderId="0" xfId="0" applyFont="1" applyAlignment="1">
      <alignment vertical="center"/>
    </xf>
    <xf numFmtId="0" fontId="12" fillId="0" borderId="0" xfId="0" applyFont="1" applyAlignment="1">
      <alignment horizontal="left" vertical="top" wrapText="1" indent="1"/>
    </xf>
    <xf numFmtId="0" fontId="1" fillId="0" borderId="0" xfId="0" applyFont="1" applyAlignment="1">
      <alignment horizontal="left" vertical="top"/>
    </xf>
    <xf numFmtId="0" fontId="10"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4" fillId="0" borderId="0" xfId="3"/>
    <xf numFmtId="0" fontId="14" fillId="0" borderId="0" xfId="3" applyAlignment="1">
      <alignment wrapText="1"/>
    </xf>
    <xf numFmtId="0" fontId="3" fillId="0" borderId="0" xfId="0" applyFont="1" applyAlignment="1">
      <alignment vertical="top"/>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14" fillId="0" borderId="0" xfId="3" applyAlignment="1">
      <alignment horizontal="left"/>
    </xf>
    <xf numFmtId="0" fontId="0" fillId="0" borderId="0" xfId="0"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28" fillId="0" borderId="0" xfId="5" applyFont="1" applyAlignment="1">
      <alignment horizontal="left"/>
    </xf>
    <xf numFmtId="0" fontId="29" fillId="0" borderId="0" xfId="0" applyFont="1" applyAlignment="1">
      <alignment horizontal="left"/>
    </xf>
    <xf numFmtId="0" fontId="30" fillId="0" borderId="0" xfId="0" applyFont="1"/>
    <xf numFmtId="0" fontId="30" fillId="0" borderId="0" xfId="0" applyFont="1" applyAlignment="1">
      <alignment horizontal="center"/>
    </xf>
    <xf numFmtId="0" fontId="30" fillId="0" borderId="0" xfId="0" applyFont="1" applyAlignment="1">
      <alignment horizontal="center" vertical="center"/>
    </xf>
    <xf numFmtId="0" fontId="27" fillId="0" borderId="0" xfId="0" applyFont="1"/>
    <xf numFmtId="0" fontId="31" fillId="0" borderId="0" xfId="0" applyFont="1"/>
    <xf numFmtId="0" fontId="32" fillId="0" borderId="0" xfId="6" applyFont="1"/>
    <xf numFmtId="0" fontId="27" fillId="0" borderId="0" xfId="0" applyFont="1" applyAlignment="1">
      <alignment horizontal="center"/>
    </xf>
    <xf numFmtId="0" fontId="30" fillId="0" borderId="0" xfId="1" applyFont="1" applyProtection="1">
      <alignment vertical="top"/>
    </xf>
    <xf numFmtId="0" fontId="32" fillId="0" borderId="0" xfId="7" applyFont="1">
      <alignment vertical="top"/>
    </xf>
    <xf numFmtId="0" fontId="27" fillId="0" borderId="3" xfId="0" applyFont="1" applyBorder="1" applyAlignment="1">
      <alignment horizontal="center" vertical="center"/>
    </xf>
    <xf numFmtId="0" fontId="27" fillId="0" borderId="10" xfId="0" applyFont="1" applyBorder="1"/>
    <xf numFmtId="169" fontId="33" fillId="6" borderId="6" xfId="0" applyNumberFormat="1" applyFont="1" applyFill="1" applyBorder="1" applyAlignment="1">
      <alignment horizontal="center" vertical="center"/>
    </xf>
    <xf numFmtId="169" fontId="33" fillId="6" borderId="0" xfId="0" applyNumberFormat="1" applyFont="1" applyFill="1" applyAlignment="1">
      <alignment horizontal="center" vertical="center"/>
    </xf>
    <xf numFmtId="169" fontId="33" fillId="6" borderId="7" xfId="0" applyNumberFormat="1" applyFont="1" applyFill="1" applyBorder="1" applyAlignment="1">
      <alignment horizontal="center" vertical="center"/>
    </xf>
    <xf numFmtId="0" fontId="34" fillId="12" borderId="1" xfId="0" applyFont="1" applyFill="1" applyBorder="1" applyAlignment="1">
      <alignment horizontal="left" vertical="center" indent="1"/>
    </xf>
    <xf numFmtId="0" fontId="34" fillId="12" borderId="1" xfId="0" applyFont="1" applyFill="1" applyBorder="1" applyAlignment="1">
      <alignment horizontal="center" vertical="center" wrapText="1"/>
    </xf>
    <xf numFmtId="0" fontId="35" fillId="11" borderId="8" xfId="0" applyFont="1" applyFill="1" applyBorder="1" applyAlignment="1">
      <alignment horizontal="center" vertical="center" shrinkToFit="1"/>
    </xf>
    <xf numFmtId="0" fontId="27" fillId="0" borderId="0" xfId="0" applyFont="1" applyAlignment="1">
      <alignment wrapText="1"/>
    </xf>
    <xf numFmtId="0" fontId="27" fillId="0" borderId="9" xfId="0" applyFont="1" applyBorder="1" applyAlignment="1">
      <alignment vertical="center"/>
    </xf>
    <xf numFmtId="0" fontId="36" fillId="7" borderId="2" xfId="0" applyFont="1" applyFill="1" applyBorder="1" applyAlignment="1">
      <alignment horizontal="left" vertical="center" indent="1"/>
    </xf>
    <xf numFmtId="0" fontId="27" fillId="7" borderId="2" xfId="11" applyFont="1" applyFill="1">
      <alignment horizontal="center" vertical="center"/>
    </xf>
    <xf numFmtId="9" fontId="37" fillId="7" borderId="2" xfId="2" applyFont="1" applyFill="1" applyBorder="1" applyAlignment="1">
      <alignment horizontal="center" vertical="center"/>
    </xf>
    <xf numFmtId="167" fontId="27" fillId="7" borderId="2" xfId="0" applyNumberFormat="1" applyFont="1" applyFill="1" applyBorder="1" applyAlignment="1">
      <alignment horizontal="center" vertical="center"/>
    </xf>
    <xf numFmtId="167" fontId="37" fillId="7" borderId="2" xfId="0" applyNumberFormat="1" applyFont="1" applyFill="1" applyBorder="1" applyAlignment="1">
      <alignment horizontal="center" vertical="center"/>
    </xf>
    <xf numFmtId="0" fontId="37" fillId="0" borderId="2" xfId="0" applyFont="1" applyBorder="1" applyAlignment="1">
      <alignment horizontal="center" vertical="center"/>
    </xf>
    <xf numFmtId="0" fontId="36" fillId="8" borderId="2" xfId="0" applyFont="1" applyFill="1" applyBorder="1" applyAlignment="1">
      <alignment horizontal="left" vertical="center" indent="1"/>
    </xf>
    <xf numFmtId="0" fontId="27" fillId="8" borderId="2" xfId="11" applyFont="1" applyFill="1">
      <alignment horizontal="center" vertical="center"/>
    </xf>
    <xf numFmtId="9" fontId="37" fillId="8" borderId="2" xfId="2" applyFont="1" applyFill="1" applyBorder="1" applyAlignment="1">
      <alignment horizontal="center" vertical="center"/>
    </xf>
    <xf numFmtId="167" fontId="27" fillId="8" borderId="2" xfId="0" applyNumberFormat="1" applyFont="1" applyFill="1" applyBorder="1" applyAlignment="1">
      <alignment horizontal="center" vertical="center"/>
    </xf>
    <xf numFmtId="167" fontId="37" fillId="8" borderId="2" xfId="0" applyNumberFormat="1" applyFont="1" applyFill="1" applyBorder="1" applyAlignment="1">
      <alignment horizontal="center" vertical="center"/>
    </xf>
    <xf numFmtId="0" fontId="27" fillId="0" borderId="9" xfId="0" applyFont="1" applyBorder="1" applyAlignment="1">
      <alignment horizontal="right" vertical="center"/>
    </xf>
    <xf numFmtId="0" fontId="36" fillId="5" borderId="2" xfId="0" applyFont="1" applyFill="1" applyBorder="1" applyAlignment="1">
      <alignment horizontal="left" vertical="center" indent="1"/>
    </xf>
    <xf numFmtId="0" fontId="27" fillId="5" borderId="2" xfId="11" applyFont="1" applyFill="1">
      <alignment horizontal="center" vertical="center"/>
    </xf>
    <xf numFmtId="9" fontId="37" fillId="5" borderId="2" xfId="2" applyFont="1" applyFill="1" applyBorder="1" applyAlignment="1">
      <alignment horizontal="center" vertical="center"/>
    </xf>
    <xf numFmtId="0" fontId="27" fillId="44" borderId="9" xfId="0" applyFont="1" applyFill="1" applyBorder="1" applyAlignment="1">
      <alignment horizontal="right" vertical="center"/>
    </xf>
    <xf numFmtId="0" fontId="27" fillId="44" borderId="9" xfId="0" applyFont="1" applyFill="1" applyBorder="1" applyAlignment="1">
      <alignment vertical="center"/>
    </xf>
    <xf numFmtId="0" fontId="27" fillId="45" borderId="9" xfId="0" applyFont="1" applyFill="1" applyBorder="1" applyAlignment="1">
      <alignment vertical="center"/>
    </xf>
    <xf numFmtId="0" fontId="36" fillId="4" borderId="2" xfId="0" applyFont="1" applyFill="1" applyBorder="1" applyAlignment="1">
      <alignment horizontal="left" vertical="center" indent="1"/>
    </xf>
    <xf numFmtId="0" fontId="27" fillId="4" borderId="2" xfId="11" applyFont="1" applyFill="1">
      <alignment horizontal="center" vertical="center"/>
    </xf>
    <xf numFmtId="9" fontId="37" fillId="4" borderId="2" xfId="2" applyFont="1" applyFill="1" applyBorder="1" applyAlignment="1">
      <alignment horizontal="center" vertical="center"/>
    </xf>
    <xf numFmtId="167" fontId="27" fillId="9" borderId="2" xfId="10" applyFont="1" applyFill="1">
      <alignment horizontal="center" vertical="center"/>
    </xf>
    <xf numFmtId="167" fontId="27" fillId="2" borderId="2" xfId="10" applyFont="1" applyFill="1">
      <alignment horizontal="center" vertical="center"/>
    </xf>
    <xf numFmtId="167" fontId="27" fillId="3" borderId="2" xfId="10" applyFont="1" applyFill="1" applyAlignment="1">
      <alignment horizontal="left" vertical="center"/>
    </xf>
    <xf numFmtId="0" fontId="37" fillId="0" borderId="2" xfId="0" applyFont="1" applyBorder="1" applyAlignment="1">
      <alignment horizontal="left" vertical="center"/>
    </xf>
    <xf numFmtId="0" fontId="27" fillId="0" borderId="9" xfId="0" applyFont="1" applyBorder="1" applyAlignment="1">
      <alignment horizontal="left" vertical="center"/>
    </xf>
    <xf numFmtId="0" fontId="27" fillId="0" borderId="0" xfId="0" applyFont="1" applyAlignment="1">
      <alignment vertical="center"/>
    </xf>
    <xf numFmtId="167" fontId="27" fillId="10" borderId="2" xfId="10" applyFont="1" applyFill="1">
      <alignment horizontal="center" vertical="center"/>
    </xf>
    <xf numFmtId="0" fontId="27" fillId="0" borderId="19" xfId="0" applyFont="1" applyBorder="1" applyAlignment="1">
      <alignment vertical="center"/>
    </xf>
    <xf numFmtId="0" fontId="27" fillId="0" borderId="17" xfId="0" applyFont="1" applyBorder="1" applyAlignment="1">
      <alignment vertical="center"/>
    </xf>
    <xf numFmtId="0" fontId="27" fillId="0" borderId="20" xfId="0" applyFont="1" applyBorder="1" applyAlignment="1">
      <alignment vertical="center"/>
    </xf>
    <xf numFmtId="0" fontId="27" fillId="0" borderId="18" xfId="0" applyFont="1" applyBorder="1" applyAlignment="1">
      <alignment vertical="center"/>
    </xf>
    <xf numFmtId="168" fontId="27" fillId="6" borderId="4" xfId="0" applyNumberFormat="1" applyFont="1" applyFill="1" applyBorder="1" applyAlignment="1">
      <alignment horizontal="left" vertical="center" wrapText="1" indent="1"/>
    </xf>
    <xf numFmtId="168" fontId="27" fillId="6" borderId="1" xfId="0" applyNumberFormat="1" applyFont="1" applyFill="1" applyBorder="1" applyAlignment="1">
      <alignment horizontal="left" vertical="center" wrapText="1" indent="1"/>
    </xf>
    <xf numFmtId="168" fontId="27" fillId="6" borderId="5" xfId="0" applyNumberFormat="1" applyFont="1" applyFill="1" applyBorder="1" applyAlignment="1">
      <alignment horizontal="left" vertical="center" wrapText="1" indent="1"/>
    </xf>
    <xf numFmtId="166" fontId="27" fillId="0" borderId="3" xfId="9" applyFont="1">
      <alignment horizontal="center" vertical="center"/>
    </xf>
    <xf numFmtId="0" fontId="27" fillId="0" borderId="0" xfId="8" applyFont="1">
      <alignment horizontal="right" indent="1"/>
    </xf>
    <xf numFmtId="0" fontId="27" fillId="0" borderId="7" xfId="8" applyFont="1" applyBorder="1">
      <alignment horizontal="right" indent="1"/>
    </xf>
    <xf numFmtId="0" fontId="27" fillId="2" borderId="2" xfId="12" applyFont="1" applyFill="1" applyAlignment="1">
      <alignment vertical="center" wrapText="1"/>
    </xf>
    <xf numFmtId="0" fontId="27" fillId="9" borderId="2" xfId="12" applyFont="1" applyFill="1" applyAlignment="1">
      <alignment horizontal="left" vertical="center" wrapText="1"/>
    </xf>
    <xf numFmtId="0" fontId="27" fillId="2" borderId="2" xfId="12" applyFont="1" applyFill="1" applyAlignment="1">
      <alignment horizontal="left" vertical="center" wrapText="1"/>
    </xf>
    <xf numFmtId="0" fontId="27" fillId="3" borderId="2" xfId="12" applyFont="1" applyFill="1" applyAlignment="1">
      <alignment horizontal="left" vertical="center" wrapText="1"/>
    </xf>
    <xf numFmtId="0" fontId="27" fillId="9" borderId="2" xfId="12" applyFont="1" applyFill="1" applyAlignment="1">
      <alignment horizontal="left" vertical="center" wrapText="1" indent="2"/>
    </xf>
    <xf numFmtId="0" fontId="27" fillId="10" borderId="2" xfId="12" applyFont="1" applyFill="1" applyAlignment="1">
      <alignment horizontal="left" vertical="center" wrapText="1"/>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8">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J34"/>
  <sheetViews>
    <sheetView showGridLines="0" tabSelected="1" showRuler="0" zoomScale="85" zoomScaleNormal="85" zoomScalePageLayoutView="70" workbookViewId="0">
      <pane ySplit="6" topLeftCell="A8" activePane="bottomLeft" state="frozen"/>
      <selection pane="bottomLeft" activeCell="B9" sqref="B9:F9"/>
    </sheetView>
  </sheetViews>
  <sheetFormatPr baseColWidth="10" defaultColWidth="9.140625" defaultRowHeight="30" customHeight="1" x14ac:dyDescent="0.25"/>
  <cols>
    <col min="1" max="1" width="32.5703125" style="14" customWidth="1"/>
    <col min="2" max="2" width="19.85546875" customWidth="1"/>
    <col min="3" max="3" width="32.85546875" customWidth="1"/>
    <col min="4" max="4" width="12.7109375" customWidth="1"/>
    <col min="5" max="5" width="10.42578125" style="3" customWidth="1"/>
    <col min="6" max="6" width="10.42578125" customWidth="1"/>
    <col min="7" max="7" width="2.7109375" customWidth="1"/>
    <col min="8" max="8" width="9.5703125" hidden="1" customWidth="1"/>
    <col min="9" max="64" width="2.5703125" customWidth="1"/>
    <col min="69" max="70" width="10.28515625"/>
  </cols>
  <sheetData>
    <row r="1" spans="1:64" ht="30" customHeight="1" x14ac:dyDescent="0.5">
      <c r="A1" s="15" t="s">
        <v>0</v>
      </c>
      <c r="B1" s="26" t="s">
        <v>34</v>
      </c>
      <c r="C1" s="27"/>
      <c r="D1" s="28"/>
      <c r="E1" s="29"/>
      <c r="F1" s="30"/>
      <c r="G1" s="31"/>
      <c r="H1" s="28"/>
      <c r="I1" s="32" t="s">
        <v>18</v>
      </c>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row>
    <row r="2" spans="1:64" ht="30" customHeight="1" x14ac:dyDescent="0.3">
      <c r="A2" s="14" t="s">
        <v>1</v>
      </c>
      <c r="B2" s="33" t="s">
        <v>35</v>
      </c>
      <c r="C2" s="31"/>
      <c r="D2" s="31"/>
      <c r="E2" s="34"/>
      <c r="F2" s="31"/>
      <c r="G2" s="31"/>
      <c r="H2" s="31"/>
      <c r="I2" s="35"/>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row>
    <row r="3" spans="1:64" ht="30" customHeight="1" x14ac:dyDescent="0.25">
      <c r="A3" s="14" t="s">
        <v>2</v>
      </c>
      <c r="B3" s="36" t="s">
        <v>36</v>
      </c>
      <c r="C3" s="83" t="s">
        <v>11</v>
      </c>
      <c r="D3" s="84"/>
      <c r="E3" s="82">
        <v>46035</v>
      </c>
      <c r="F3" s="82"/>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row>
    <row r="4" spans="1:64" ht="30" customHeight="1" x14ac:dyDescent="0.25">
      <c r="A4" s="15" t="s">
        <v>3</v>
      </c>
      <c r="B4" s="31"/>
      <c r="C4" s="83" t="s">
        <v>12</v>
      </c>
      <c r="D4" s="84"/>
      <c r="E4" s="37">
        <v>1</v>
      </c>
      <c r="F4" s="31"/>
      <c r="G4" s="31"/>
      <c r="H4" s="31"/>
      <c r="I4" s="79">
        <f>I5</f>
        <v>46034</v>
      </c>
      <c r="J4" s="80"/>
      <c r="K4" s="80"/>
      <c r="L4" s="80"/>
      <c r="M4" s="80"/>
      <c r="N4" s="80"/>
      <c r="O4" s="81"/>
      <c r="P4" s="79">
        <f>P5</f>
        <v>46041</v>
      </c>
      <c r="Q4" s="80"/>
      <c r="R4" s="80"/>
      <c r="S4" s="80"/>
      <c r="T4" s="80"/>
      <c r="U4" s="80"/>
      <c r="V4" s="81"/>
      <c r="W4" s="79">
        <f>W5</f>
        <v>46048</v>
      </c>
      <c r="X4" s="80"/>
      <c r="Y4" s="80"/>
      <c r="Z4" s="80"/>
      <c r="AA4" s="80"/>
      <c r="AB4" s="80"/>
      <c r="AC4" s="81"/>
      <c r="AD4" s="79">
        <f>AD5</f>
        <v>46055</v>
      </c>
      <c r="AE4" s="80"/>
      <c r="AF4" s="80"/>
      <c r="AG4" s="80"/>
      <c r="AH4" s="80"/>
      <c r="AI4" s="80"/>
      <c r="AJ4" s="81"/>
      <c r="AK4" s="79">
        <f>AK5</f>
        <v>46062</v>
      </c>
      <c r="AL4" s="80"/>
      <c r="AM4" s="80"/>
      <c r="AN4" s="80"/>
      <c r="AO4" s="80"/>
      <c r="AP4" s="80"/>
      <c r="AQ4" s="81"/>
      <c r="AR4" s="79">
        <f>AR5</f>
        <v>46069</v>
      </c>
      <c r="AS4" s="80"/>
      <c r="AT4" s="80"/>
      <c r="AU4" s="80"/>
      <c r="AV4" s="80"/>
      <c r="AW4" s="80"/>
      <c r="AX4" s="81"/>
      <c r="AY4" s="79">
        <f>AY5</f>
        <v>46076</v>
      </c>
      <c r="AZ4" s="80"/>
      <c r="BA4" s="80"/>
      <c r="BB4" s="80"/>
      <c r="BC4" s="80"/>
      <c r="BD4" s="80"/>
      <c r="BE4" s="81"/>
      <c r="BF4" s="79">
        <f>BF5</f>
        <v>46083</v>
      </c>
      <c r="BG4" s="80"/>
      <c r="BH4" s="80"/>
      <c r="BI4" s="80"/>
      <c r="BJ4" s="80"/>
      <c r="BK4" s="80"/>
      <c r="BL4" s="81"/>
    </row>
    <row r="5" spans="1:64" ht="15" customHeight="1" x14ac:dyDescent="0.25">
      <c r="A5" s="15" t="s">
        <v>4</v>
      </c>
      <c r="B5" s="38"/>
      <c r="C5" s="38"/>
      <c r="D5" s="38"/>
      <c r="E5" s="38"/>
      <c r="F5" s="38"/>
      <c r="G5" s="38"/>
      <c r="H5" s="31"/>
      <c r="I5" s="39">
        <f>Début_Projet-WEEKDAY(Début_Projet,1)+2+7*(Semaine_Affichage-1)</f>
        <v>46034</v>
      </c>
      <c r="J5" s="40">
        <f>I5+1</f>
        <v>46035</v>
      </c>
      <c r="K5" s="40">
        <f t="shared" ref="K5:AX5" si="0">J5+1</f>
        <v>46036</v>
      </c>
      <c r="L5" s="40">
        <f t="shared" si="0"/>
        <v>46037</v>
      </c>
      <c r="M5" s="40">
        <f t="shared" si="0"/>
        <v>46038</v>
      </c>
      <c r="N5" s="40">
        <f t="shared" si="0"/>
        <v>46039</v>
      </c>
      <c r="O5" s="41">
        <f t="shared" si="0"/>
        <v>46040</v>
      </c>
      <c r="P5" s="39">
        <f>O5+1</f>
        <v>46041</v>
      </c>
      <c r="Q5" s="40">
        <f>P5+1</f>
        <v>46042</v>
      </c>
      <c r="R5" s="40">
        <f t="shared" si="0"/>
        <v>46043</v>
      </c>
      <c r="S5" s="40">
        <f t="shared" si="0"/>
        <v>46044</v>
      </c>
      <c r="T5" s="40">
        <f t="shared" si="0"/>
        <v>46045</v>
      </c>
      <c r="U5" s="40">
        <f t="shared" si="0"/>
        <v>46046</v>
      </c>
      <c r="V5" s="41">
        <f t="shared" si="0"/>
        <v>46047</v>
      </c>
      <c r="W5" s="39">
        <f>V5+1</f>
        <v>46048</v>
      </c>
      <c r="X5" s="40">
        <f>W5+1</f>
        <v>46049</v>
      </c>
      <c r="Y5" s="40">
        <f t="shared" si="0"/>
        <v>46050</v>
      </c>
      <c r="Z5" s="40">
        <f t="shared" si="0"/>
        <v>46051</v>
      </c>
      <c r="AA5" s="40">
        <f t="shared" si="0"/>
        <v>46052</v>
      </c>
      <c r="AB5" s="40">
        <f t="shared" si="0"/>
        <v>46053</v>
      </c>
      <c r="AC5" s="41">
        <f t="shared" si="0"/>
        <v>46054</v>
      </c>
      <c r="AD5" s="39">
        <f>AC5+1</f>
        <v>46055</v>
      </c>
      <c r="AE5" s="40">
        <f>AD5+1</f>
        <v>46056</v>
      </c>
      <c r="AF5" s="40">
        <f t="shared" si="0"/>
        <v>46057</v>
      </c>
      <c r="AG5" s="40">
        <f t="shared" si="0"/>
        <v>46058</v>
      </c>
      <c r="AH5" s="40">
        <f t="shared" si="0"/>
        <v>46059</v>
      </c>
      <c r="AI5" s="40">
        <f t="shared" si="0"/>
        <v>46060</v>
      </c>
      <c r="AJ5" s="41">
        <f t="shared" si="0"/>
        <v>46061</v>
      </c>
      <c r="AK5" s="39">
        <f>AJ5+1</f>
        <v>46062</v>
      </c>
      <c r="AL5" s="40">
        <f>AK5+1</f>
        <v>46063</v>
      </c>
      <c r="AM5" s="40">
        <f t="shared" si="0"/>
        <v>46064</v>
      </c>
      <c r="AN5" s="40">
        <f t="shared" si="0"/>
        <v>46065</v>
      </c>
      <c r="AO5" s="40">
        <f t="shared" si="0"/>
        <v>46066</v>
      </c>
      <c r="AP5" s="40">
        <f t="shared" si="0"/>
        <v>46067</v>
      </c>
      <c r="AQ5" s="41">
        <f t="shared" si="0"/>
        <v>46068</v>
      </c>
      <c r="AR5" s="39">
        <f>AQ5+1</f>
        <v>46069</v>
      </c>
      <c r="AS5" s="40">
        <f>AR5+1</f>
        <v>46070</v>
      </c>
      <c r="AT5" s="40">
        <f t="shared" si="0"/>
        <v>46071</v>
      </c>
      <c r="AU5" s="40">
        <f t="shared" si="0"/>
        <v>46072</v>
      </c>
      <c r="AV5" s="40">
        <f t="shared" si="0"/>
        <v>46073</v>
      </c>
      <c r="AW5" s="40">
        <f t="shared" si="0"/>
        <v>46074</v>
      </c>
      <c r="AX5" s="41">
        <f t="shared" si="0"/>
        <v>46075</v>
      </c>
      <c r="AY5" s="39">
        <f>AX5+1</f>
        <v>46076</v>
      </c>
      <c r="AZ5" s="40">
        <f>AY5+1</f>
        <v>46077</v>
      </c>
      <c r="BA5" s="40">
        <f t="shared" ref="BA5:BE5" si="1">AZ5+1</f>
        <v>46078</v>
      </c>
      <c r="BB5" s="40">
        <f t="shared" si="1"/>
        <v>46079</v>
      </c>
      <c r="BC5" s="40">
        <f t="shared" si="1"/>
        <v>46080</v>
      </c>
      <c r="BD5" s="40">
        <f t="shared" si="1"/>
        <v>46081</v>
      </c>
      <c r="BE5" s="41">
        <f t="shared" si="1"/>
        <v>46082</v>
      </c>
      <c r="BF5" s="39">
        <f>BE5+1</f>
        <v>46083</v>
      </c>
      <c r="BG5" s="40">
        <f>BF5+1</f>
        <v>46084</v>
      </c>
      <c r="BH5" s="40">
        <f t="shared" ref="BH5:BL5" si="2">BG5+1</f>
        <v>46085</v>
      </c>
      <c r="BI5" s="40">
        <f t="shared" si="2"/>
        <v>46086</v>
      </c>
      <c r="BJ5" s="40">
        <f t="shared" si="2"/>
        <v>46087</v>
      </c>
      <c r="BK5" s="40">
        <f t="shared" si="2"/>
        <v>46088</v>
      </c>
      <c r="BL5" s="41">
        <f t="shared" si="2"/>
        <v>46089</v>
      </c>
    </row>
    <row r="6" spans="1:64" ht="30" customHeight="1" thickBot="1" x14ac:dyDescent="0.3">
      <c r="A6" s="15" t="s">
        <v>5</v>
      </c>
      <c r="B6" s="42" t="s">
        <v>10</v>
      </c>
      <c r="C6" s="43" t="s">
        <v>13</v>
      </c>
      <c r="D6" s="43" t="s">
        <v>14</v>
      </c>
      <c r="E6" s="43" t="s">
        <v>15</v>
      </c>
      <c r="F6" s="43" t="s">
        <v>16</v>
      </c>
      <c r="G6" s="43"/>
      <c r="H6" s="43" t="s">
        <v>17</v>
      </c>
      <c r="I6" s="44" t="str">
        <f t="shared" ref="I6:AN6" si="3">LEFT(TEXT(I5,"jjj"),1)</f>
        <v>l</v>
      </c>
      <c r="J6" s="44" t="str">
        <f>LEFT(TEXT(J5,"jjj"),1)</f>
        <v>m</v>
      </c>
      <c r="K6" s="44" t="str">
        <f t="shared" si="3"/>
        <v>m</v>
      </c>
      <c r="L6" s="44" t="str">
        <f t="shared" si="3"/>
        <v>j</v>
      </c>
      <c r="M6" s="44" t="str">
        <f t="shared" si="3"/>
        <v>v</v>
      </c>
      <c r="N6" s="44" t="str">
        <f t="shared" si="3"/>
        <v>s</v>
      </c>
      <c r="O6" s="44" t="str">
        <f t="shared" si="3"/>
        <v>d</v>
      </c>
      <c r="P6" s="44" t="str">
        <f t="shared" si="3"/>
        <v>l</v>
      </c>
      <c r="Q6" s="44" t="str">
        <f t="shared" si="3"/>
        <v>m</v>
      </c>
      <c r="R6" s="44" t="str">
        <f t="shared" si="3"/>
        <v>m</v>
      </c>
      <c r="S6" s="44" t="str">
        <f t="shared" si="3"/>
        <v>j</v>
      </c>
      <c r="T6" s="44" t="str">
        <f t="shared" si="3"/>
        <v>v</v>
      </c>
      <c r="U6" s="44" t="str">
        <f t="shared" si="3"/>
        <v>s</v>
      </c>
      <c r="V6" s="44" t="str">
        <f t="shared" si="3"/>
        <v>d</v>
      </c>
      <c r="W6" s="44" t="str">
        <f t="shared" si="3"/>
        <v>l</v>
      </c>
      <c r="X6" s="44" t="str">
        <f t="shared" si="3"/>
        <v>m</v>
      </c>
      <c r="Y6" s="44" t="str">
        <f t="shared" si="3"/>
        <v>m</v>
      </c>
      <c r="Z6" s="44" t="str">
        <f t="shared" si="3"/>
        <v>j</v>
      </c>
      <c r="AA6" s="44" t="str">
        <f t="shared" si="3"/>
        <v>v</v>
      </c>
      <c r="AB6" s="44" t="str">
        <f t="shared" si="3"/>
        <v>s</v>
      </c>
      <c r="AC6" s="44" t="str">
        <f t="shared" si="3"/>
        <v>d</v>
      </c>
      <c r="AD6" s="44" t="str">
        <f t="shared" si="3"/>
        <v>l</v>
      </c>
      <c r="AE6" s="44" t="str">
        <f t="shared" si="3"/>
        <v>m</v>
      </c>
      <c r="AF6" s="44" t="str">
        <f t="shared" si="3"/>
        <v>m</v>
      </c>
      <c r="AG6" s="44" t="str">
        <f t="shared" si="3"/>
        <v>j</v>
      </c>
      <c r="AH6" s="44" t="str">
        <f t="shared" si="3"/>
        <v>v</v>
      </c>
      <c r="AI6" s="44" t="str">
        <f t="shared" si="3"/>
        <v>s</v>
      </c>
      <c r="AJ6" s="44" t="str">
        <f t="shared" si="3"/>
        <v>d</v>
      </c>
      <c r="AK6" s="44" t="str">
        <f t="shared" si="3"/>
        <v>l</v>
      </c>
      <c r="AL6" s="44" t="str">
        <f t="shared" si="3"/>
        <v>m</v>
      </c>
      <c r="AM6" s="44" t="str">
        <f t="shared" si="3"/>
        <v>m</v>
      </c>
      <c r="AN6" s="44" t="str">
        <f t="shared" si="3"/>
        <v>j</v>
      </c>
      <c r="AO6" s="44" t="str">
        <f t="shared" ref="AO6:BL6" si="4">LEFT(TEXT(AO5,"jjj"),1)</f>
        <v>v</v>
      </c>
      <c r="AP6" s="44" t="str">
        <f t="shared" si="4"/>
        <v>s</v>
      </c>
      <c r="AQ6" s="44" t="str">
        <f t="shared" si="4"/>
        <v>d</v>
      </c>
      <c r="AR6" s="44" t="str">
        <f t="shared" si="4"/>
        <v>l</v>
      </c>
      <c r="AS6" s="44" t="str">
        <f t="shared" si="4"/>
        <v>m</v>
      </c>
      <c r="AT6" s="44" t="str">
        <f t="shared" si="4"/>
        <v>m</v>
      </c>
      <c r="AU6" s="44" t="str">
        <f t="shared" si="4"/>
        <v>j</v>
      </c>
      <c r="AV6" s="44" t="str">
        <f t="shared" si="4"/>
        <v>v</v>
      </c>
      <c r="AW6" s="44" t="str">
        <f t="shared" si="4"/>
        <v>s</v>
      </c>
      <c r="AX6" s="44" t="str">
        <f t="shared" si="4"/>
        <v>d</v>
      </c>
      <c r="AY6" s="44" t="str">
        <f t="shared" si="4"/>
        <v>l</v>
      </c>
      <c r="AZ6" s="44" t="str">
        <f t="shared" si="4"/>
        <v>m</v>
      </c>
      <c r="BA6" s="44" t="str">
        <f t="shared" si="4"/>
        <v>m</v>
      </c>
      <c r="BB6" s="44" t="str">
        <f t="shared" si="4"/>
        <v>j</v>
      </c>
      <c r="BC6" s="44" t="str">
        <f t="shared" si="4"/>
        <v>v</v>
      </c>
      <c r="BD6" s="44" t="str">
        <f t="shared" si="4"/>
        <v>s</v>
      </c>
      <c r="BE6" s="44" t="str">
        <f t="shared" si="4"/>
        <v>d</v>
      </c>
      <c r="BF6" s="44" t="str">
        <f t="shared" si="4"/>
        <v>l</v>
      </c>
      <c r="BG6" s="44" t="str">
        <f t="shared" si="4"/>
        <v>m</v>
      </c>
      <c r="BH6" s="44" t="str">
        <f t="shared" si="4"/>
        <v>m</v>
      </c>
      <c r="BI6" s="44" t="str">
        <f t="shared" si="4"/>
        <v>j</v>
      </c>
      <c r="BJ6" s="44" t="str">
        <f t="shared" si="4"/>
        <v>v</v>
      </c>
      <c r="BK6" s="44" t="str">
        <f t="shared" si="4"/>
        <v>s</v>
      </c>
      <c r="BL6" s="44" t="str">
        <f t="shared" si="4"/>
        <v>d</v>
      </c>
    </row>
    <row r="7" spans="1:64" ht="15.75" hidden="1" thickBot="1" x14ac:dyDescent="0.3">
      <c r="A7" s="14" t="s">
        <v>6</v>
      </c>
      <c r="B7" s="31"/>
      <c r="C7" s="45"/>
      <c r="D7" s="31"/>
      <c r="E7" s="31"/>
      <c r="F7" s="31"/>
      <c r="G7" s="31"/>
      <c r="H7" s="31" t="str">
        <f>IF(OR(ISBLANK(début_tâche),ISBLANK(fin_tâche)),"",fin_tâche-début_tâche+1)</f>
        <v/>
      </c>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row>
    <row r="8" spans="1:64" s="2" customFormat="1" ht="30" customHeight="1" thickBot="1" x14ac:dyDescent="0.3">
      <c r="A8" s="15" t="s">
        <v>7</v>
      </c>
      <c r="B8" s="47" t="s">
        <v>60</v>
      </c>
      <c r="C8" s="48"/>
      <c r="D8" s="49"/>
      <c r="E8" s="50">
        <v>46035</v>
      </c>
      <c r="F8" s="51">
        <v>46049</v>
      </c>
      <c r="G8" s="52"/>
      <c r="H8" s="52">
        <f t="shared" ref="H8:H30" si="5">IF(OR(ISBLANK(début_tâche),ISBLANK(fin_tâche)),"",fin_tâche-début_tâche+1)</f>
        <v>15</v>
      </c>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row>
    <row r="9" spans="1:64" s="2" customFormat="1" ht="111" customHeight="1" thickBot="1" x14ac:dyDescent="0.3">
      <c r="A9" s="15"/>
      <c r="B9" s="85" t="s">
        <v>48</v>
      </c>
      <c r="C9" s="85"/>
      <c r="D9" s="85"/>
      <c r="E9" s="85"/>
      <c r="F9" s="85"/>
      <c r="G9" s="52"/>
      <c r="H9" s="52" t="str">
        <f t="shared" si="5"/>
        <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row>
    <row r="10" spans="1:64" s="2" customFormat="1" ht="30" customHeight="1" thickBot="1" x14ac:dyDescent="0.3">
      <c r="A10" s="15" t="s">
        <v>8</v>
      </c>
      <c r="B10" s="53" t="s">
        <v>33</v>
      </c>
      <c r="C10" s="54"/>
      <c r="D10" s="55"/>
      <c r="E10" s="56">
        <v>46047</v>
      </c>
      <c r="F10" s="57">
        <v>46056</v>
      </c>
      <c r="G10" s="52"/>
      <c r="H10" s="52">
        <f t="shared" si="5"/>
        <v>10</v>
      </c>
      <c r="I10" s="46"/>
      <c r="J10" s="46"/>
      <c r="K10" s="46"/>
      <c r="L10" s="46"/>
      <c r="M10" s="46"/>
      <c r="N10" s="46"/>
      <c r="O10" s="46"/>
      <c r="P10" s="46"/>
      <c r="Q10" s="46"/>
      <c r="R10" s="46"/>
      <c r="S10" s="46"/>
      <c r="T10" s="46"/>
      <c r="U10" s="58"/>
      <c r="V10" s="58"/>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row>
    <row r="11" spans="1:64" s="2" customFormat="1" ht="85.5" customHeight="1" thickBot="1" x14ac:dyDescent="0.3">
      <c r="A11" s="14"/>
      <c r="B11" s="88" t="s">
        <v>44</v>
      </c>
      <c r="C11" s="88"/>
      <c r="D11" s="88"/>
      <c r="E11" s="88"/>
      <c r="F11" s="88"/>
      <c r="G11" s="52"/>
      <c r="H11" s="52" t="str">
        <f t="shared" si="5"/>
        <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row>
    <row r="12" spans="1:64" s="2" customFormat="1" ht="98.25" customHeight="1" thickBot="1" x14ac:dyDescent="0.3">
      <c r="A12" s="14"/>
      <c r="B12" s="88" t="s">
        <v>45</v>
      </c>
      <c r="C12" s="88"/>
      <c r="D12" s="88"/>
      <c r="E12" s="88"/>
      <c r="F12" s="88"/>
      <c r="G12" s="52"/>
      <c r="H12" s="52" t="str">
        <f t="shared" si="5"/>
        <v/>
      </c>
      <c r="I12" s="46"/>
      <c r="J12" s="46"/>
      <c r="K12" s="46"/>
      <c r="L12" s="46"/>
      <c r="M12" s="46"/>
      <c r="N12" s="46"/>
      <c r="O12" s="46"/>
      <c r="P12" s="46"/>
      <c r="Q12" s="46"/>
      <c r="R12" s="46"/>
      <c r="S12" s="46"/>
      <c r="T12" s="46"/>
      <c r="U12" s="46"/>
      <c r="V12" s="46"/>
      <c r="W12" s="46"/>
      <c r="X12" s="46"/>
      <c r="Y12" s="58"/>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row>
    <row r="13" spans="1:64" s="2" customFormat="1" ht="99" customHeight="1" thickBot="1" x14ac:dyDescent="0.3">
      <c r="A13" s="14"/>
      <c r="B13" s="88" t="s">
        <v>46</v>
      </c>
      <c r="C13" s="88"/>
      <c r="D13" s="88"/>
      <c r="E13" s="88"/>
      <c r="F13" s="88"/>
      <c r="G13" s="52"/>
      <c r="H13" s="52" t="str">
        <f t="shared" si="5"/>
        <v/>
      </c>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row>
    <row r="14" spans="1:64" s="2" customFormat="1" ht="156" customHeight="1" thickBot="1" x14ac:dyDescent="0.3">
      <c r="A14" s="15" t="s">
        <v>9</v>
      </c>
      <c r="B14" s="88" t="s">
        <v>47</v>
      </c>
      <c r="C14" s="88"/>
      <c r="D14" s="88"/>
      <c r="E14" s="88"/>
      <c r="F14" s="88"/>
      <c r="G14" s="52"/>
      <c r="H14" s="52" t="str">
        <f t="shared" si="5"/>
        <v/>
      </c>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row>
    <row r="15" spans="1:64" s="2" customFormat="1" ht="26.25" customHeight="1" thickBot="1" x14ac:dyDescent="0.3">
      <c r="A15" s="14"/>
      <c r="B15" s="59" t="s">
        <v>37</v>
      </c>
      <c r="C15" s="60"/>
      <c r="D15" s="61"/>
      <c r="E15" s="56">
        <v>46047</v>
      </c>
      <c r="F15" s="57">
        <v>46056</v>
      </c>
      <c r="G15" s="52"/>
      <c r="H15" s="52">
        <f t="shared" si="5"/>
        <v>10</v>
      </c>
      <c r="I15" s="46"/>
      <c r="J15" s="46"/>
      <c r="K15" s="46"/>
      <c r="L15" s="46"/>
      <c r="M15" s="46"/>
      <c r="N15" s="46"/>
      <c r="O15" s="46"/>
      <c r="P15" s="46"/>
      <c r="Q15" s="46"/>
      <c r="R15" s="46"/>
      <c r="S15" s="46"/>
      <c r="T15" s="46"/>
      <c r="U15" s="58"/>
      <c r="V15" s="62"/>
      <c r="W15" s="63"/>
      <c r="X15" s="63"/>
      <c r="Y15" s="63"/>
      <c r="Z15" s="63"/>
      <c r="AA15" s="63"/>
      <c r="AB15" s="63"/>
      <c r="AC15" s="63"/>
      <c r="AD15" s="63" t="s">
        <v>55</v>
      </c>
      <c r="AE15" s="63"/>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row>
    <row r="16" spans="1:64" s="2" customFormat="1" ht="123" customHeight="1" thickBot="1" x14ac:dyDescent="0.3">
      <c r="A16" s="14"/>
      <c r="B16" s="90" t="s">
        <v>49</v>
      </c>
      <c r="C16" s="90"/>
      <c r="D16" s="90"/>
      <c r="E16" s="90"/>
      <c r="F16" s="90"/>
      <c r="G16" s="52"/>
      <c r="H16" s="52" t="str">
        <f t="shared" si="5"/>
        <v/>
      </c>
      <c r="I16" s="46"/>
      <c r="J16" s="46"/>
      <c r="K16" s="46"/>
      <c r="L16" s="46"/>
      <c r="M16" s="46"/>
      <c r="N16" s="46"/>
      <c r="O16" s="46"/>
      <c r="P16" s="46"/>
      <c r="Q16" s="46"/>
      <c r="R16" s="46"/>
      <c r="S16" s="46"/>
      <c r="T16" s="46"/>
      <c r="U16" s="46"/>
      <c r="V16" s="64"/>
      <c r="W16" s="64"/>
      <c r="X16" s="64"/>
      <c r="Y16" s="64"/>
      <c r="Z16" s="64"/>
      <c r="AA16" s="64"/>
      <c r="AB16" s="64"/>
      <c r="AC16" s="64"/>
      <c r="AD16" s="64"/>
      <c r="AE16" s="64"/>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row>
    <row r="17" spans="1:88" s="2" customFormat="1" ht="30" customHeight="1" thickBot="1" x14ac:dyDescent="0.3">
      <c r="A17" s="14"/>
      <c r="B17" s="65" t="s">
        <v>38</v>
      </c>
      <c r="C17" s="66"/>
      <c r="D17" s="67"/>
      <c r="E17" s="56">
        <v>46047</v>
      </c>
      <c r="F17" s="57">
        <v>46056</v>
      </c>
      <c r="G17" s="52"/>
      <c r="H17" s="52">
        <f t="shared" si="5"/>
        <v>10</v>
      </c>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row>
    <row r="18" spans="1:88" s="2" customFormat="1" ht="98.25" customHeight="1" thickBot="1" x14ac:dyDescent="0.3">
      <c r="A18" s="14"/>
      <c r="B18" s="86" t="s">
        <v>50</v>
      </c>
      <c r="C18" s="86"/>
      <c r="D18" s="86"/>
      <c r="E18" s="68"/>
      <c r="F18" s="68"/>
      <c r="G18" s="52"/>
      <c r="H18" s="52" t="str">
        <f t="shared" si="5"/>
        <v/>
      </c>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row>
    <row r="19" spans="1:88" s="2" customFormat="1" ht="30" customHeight="1" thickBot="1" x14ac:dyDescent="0.3">
      <c r="A19" s="14"/>
      <c r="B19" s="47" t="s">
        <v>39</v>
      </c>
      <c r="C19" s="48"/>
      <c r="D19" s="49"/>
      <c r="E19" s="50">
        <v>46054</v>
      </c>
      <c r="F19" s="51">
        <v>46062</v>
      </c>
      <c r="G19" s="52"/>
      <c r="H19" s="52">
        <f t="shared" si="5"/>
        <v>9</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U19" s="17"/>
      <c r="CJ19" s="18"/>
    </row>
    <row r="20" spans="1:88" s="2" customFormat="1" ht="30" customHeight="1" thickBot="1" x14ac:dyDescent="0.3">
      <c r="A20" s="14"/>
      <c r="B20" s="87" t="s">
        <v>51</v>
      </c>
      <c r="C20" s="87"/>
      <c r="D20" s="87"/>
      <c r="E20" s="69"/>
      <c r="F20" s="69"/>
      <c r="G20" s="52"/>
      <c r="H20" s="52" t="str">
        <f t="shared" si="5"/>
        <v/>
      </c>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U20" s="17"/>
      <c r="CJ20" s="18"/>
    </row>
    <row r="21" spans="1:88" s="2" customFormat="1" ht="51" customHeight="1" thickBot="1" x14ac:dyDescent="0.3">
      <c r="A21" s="14"/>
      <c r="B21" s="87" t="s">
        <v>52</v>
      </c>
      <c r="C21" s="87"/>
      <c r="D21" s="87"/>
      <c r="E21" s="69"/>
      <c r="F21" s="69"/>
      <c r="G21" s="52"/>
      <c r="H21" s="52" t="str">
        <f t="shared" si="5"/>
        <v/>
      </c>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U21" s="17"/>
      <c r="CJ21" s="18"/>
    </row>
    <row r="22" spans="1:88" s="2" customFormat="1" ht="30" customHeight="1" thickBot="1" x14ac:dyDescent="0.3">
      <c r="A22" s="15" t="s">
        <v>8</v>
      </c>
      <c r="B22" s="53" t="s">
        <v>40</v>
      </c>
      <c r="C22" s="54"/>
      <c r="D22" s="55"/>
      <c r="E22" s="50">
        <v>46054</v>
      </c>
      <c r="F22" s="51">
        <v>46062</v>
      </c>
      <c r="G22" s="52"/>
      <c r="H22" s="52">
        <f t="shared" si="5"/>
        <v>9</v>
      </c>
      <c r="I22" s="46"/>
      <c r="J22" s="46"/>
      <c r="K22" s="46"/>
      <c r="L22" s="46"/>
      <c r="M22" s="46"/>
      <c r="N22" s="46"/>
      <c r="O22" s="46"/>
      <c r="P22" s="46"/>
      <c r="Q22" s="46"/>
      <c r="R22" s="46"/>
      <c r="S22" s="46"/>
      <c r="T22" s="46"/>
      <c r="U22" s="58"/>
      <c r="V22" s="58"/>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U22" s="17"/>
      <c r="CJ22" s="18"/>
    </row>
    <row r="23" spans="1:88" s="23" customFormat="1" ht="30" customHeight="1" thickBot="1" x14ac:dyDescent="0.3">
      <c r="A23" s="22"/>
      <c r="B23" s="88" t="s">
        <v>53</v>
      </c>
      <c r="C23" s="88"/>
      <c r="D23" s="88"/>
      <c r="E23" s="70"/>
      <c r="F23" s="70"/>
      <c r="G23" s="71"/>
      <c r="H23" s="71" t="str">
        <f t="shared" si="5"/>
        <v/>
      </c>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U23" s="24"/>
      <c r="CJ23" s="25"/>
    </row>
    <row r="24" spans="1:88" s="23" customFormat="1" ht="50.25" customHeight="1" thickBot="1" x14ac:dyDescent="0.3">
      <c r="A24" s="22"/>
      <c r="B24" s="88" t="s">
        <v>54</v>
      </c>
      <c r="C24" s="88"/>
      <c r="D24" s="88"/>
      <c r="E24" s="70"/>
      <c r="F24" s="70"/>
      <c r="G24" s="71"/>
      <c r="H24" s="71" t="str">
        <f t="shared" si="5"/>
        <v/>
      </c>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U24" s="24"/>
      <c r="CJ24" s="25"/>
    </row>
    <row r="25" spans="1:88" s="2" customFormat="1" ht="30" customHeight="1" thickBot="1" x14ac:dyDescent="0.3">
      <c r="A25" s="14"/>
      <c r="B25" s="59" t="s">
        <v>41</v>
      </c>
      <c r="C25" s="60"/>
      <c r="D25" s="61"/>
      <c r="E25" s="50">
        <v>46054</v>
      </c>
      <c r="F25" s="51">
        <v>46062</v>
      </c>
      <c r="G25" s="52"/>
      <c r="H25" s="52">
        <f t="shared" si="5"/>
        <v>9</v>
      </c>
      <c r="I25" s="46"/>
      <c r="J25" s="46"/>
      <c r="K25" s="46"/>
      <c r="L25" s="46"/>
      <c r="M25" s="46"/>
      <c r="N25" s="46"/>
      <c r="O25" s="46"/>
      <c r="P25" s="46"/>
      <c r="Q25" s="46"/>
      <c r="R25" s="46"/>
      <c r="S25" s="46"/>
      <c r="T25" s="46"/>
      <c r="U25" s="58"/>
      <c r="V25" s="58"/>
      <c r="W25" s="46"/>
      <c r="X25" s="46"/>
      <c r="Y25" s="46"/>
      <c r="Z25" s="46"/>
      <c r="AA25" s="46"/>
      <c r="AB25" s="46"/>
      <c r="AC25" s="73"/>
      <c r="AD25" s="73"/>
      <c r="AE25" s="73"/>
      <c r="AF25" s="73"/>
      <c r="AG25" s="73"/>
      <c r="AH25" s="73"/>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R25" s="2" t="s">
        <v>43</v>
      </c>
      <c r="BU25" s="17"/>
      <c r="CJ25" s="18"/>
    </row>
    <row r="26" spans="1:88" s="2" customFormat="1" ht="61.5" customHeight="1" thickBot="1" x14ac:dyDescent="0.3">
      <c r="A26" s="14"/>
      <c r="B26" s="90" t="s">
        <v>56</v>
      </c>
      <c r="C26" s="90"/>
      <c r="D26" s="90"/>
      <c r="E26" s="74"/>
      <c r="F26" s="74"/>
      <c r="G26" s="52"/>
      <c r="H26" s="52" t="str">
        <f t="shared" si="5"/>
        <v/>
      </c>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U26" s="17"/>
      <c r="CJ26" s="18"/>
    </row>
    <row r="27" spans="1:88" s="2" customFormat="1" ht="109.5" customHeight="1" thickBot="1" x14ac:dyDescent="0.3">
      <c r="A27" s="14"/>
      <c r="B27" s="90" t="s">
        <v>57</v>
      </c>
      <c r="C27" s="90"/>
      <c r="D27" s="90"/>
      <c r="E27" s="74"/>
      <c r="F27" s="74"/>
      <c r="G27" s="52"/>
      <c r="H27" s="52" t="str">
        <f t="shared" si="5"/>
        <v/>
      </c>
      <c r="I27" s="46"/>
      <c r="J27" s="46"/>
      <c r="K27" s="46"/>
      <c r="L27" s="46"/>
      <c r="M27" s="46"/>
      <c r="N27" s="46"/>
      <c r="O27" s="46"/>
      <c r="P27" s="46"/>
      <c r="Q27" s="46"/>
      <c r="R27" s="46"/>
      <c r="S27" s="46"/>
      <c r="T27" s="46"/>
      <c r="U27" s="46"/>
      <c r="V27" s="46"/>
      <c r="W27" s="46"/>
      <c r="X27" s="46"/>
      <c r="Y27" s="58"/>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U27" s="17"/>
      <c r="CJ27" s="18"/>
    </row>
    <row r="28" spans="1:88" s="2" customFormat="1" ht="30" customHeight="1" thickBot="1" x14ac:dyDescent="0.3">
      <c r="A28" s="14"/>
      <c r="B28" s="65" t="s">
        <v>42</v>
      </c>
      <c r="C28" s="66"/>
      <c r="D28" s="67"/>
      <c r="E28" s="50">
        <v>46054</v>
      </c>
      <c r="F28" s="51">
        <v>46062</v>
      </c>
      <c r="G28" s="52"/>
      <c r="H28" s="52">
        <f t="shared" si="5"/>
        <v>9</v>
      </c>
      <c r="I28" s="46"/>
      <c r="J28" s="46"/>
      <c r="K28" s="46"/>
      <c r="L28" s="46"/>
      <c r="M28" s="46"/>
      <c r="N28" s="46"/>
      <c r="O28" s="46"/>
      <c r="P28" s="46"/>
      <c r="Q28" s="46"/>
      <c r="R28" s="46"/>
      <c r="S28" s="46"/>
      <c r="T28" s="46"/>
      <c r="U28" s="46"/>
      <c r="V28" s="46"/>
      <c r="W28" s="46"/>
      <c r="X28" s="46"/>
      <c r="Y28" s="46"/>
      <c r="Z28" s="46"/>
      <c r="AA28" s="46"/>
      <c r="AB28" s="46"/>
      <c r="AC28" s="73"/>
      <c r="AD28" s="73"/>
      <c r="AE28" s="73"/>
      <c r="AF28" s="73"/>
      <c r="AG28" s="73"/>
      <c r="AH28" s="73"/>
      <c r="AI28" s="73"/>
      <c r="AJ28" s="73"/>
      <c r="AK28" s="73"/>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U28" s="19"/>
      <c r="BV28" s="20"/>
      <c r="BW28" s="20"/>
      <c r="BX28" s="20"/>
      <c r="BY28" s="20"/>
      <c r="BZ28" s="20"/>
      <c r="CA28" s="20"/>
      <c r="CB28" s="20"/>
      <c r="CC28" s="20"/>
      <c r="CD28" s="20"/>
      <c r="CE28" s="20"/>
      <c r="CF28" s="20"/>
      <c r="CG28" s="20"/>
      <c r="CH28" s="20"/>
      <c r="CI28" s="20"/>
      <c r="CJ28" s="21"/>
    </row>
    <row r="29" spans="1:88" s="2" customFormat="1" ht="90" customHeight="1" thickBot="1" x14ac:dyDescent="0.3">
      <c r="A29" s="14"/>
      <c r="B29" s="89" t="s">
        <v>58</v>
      </c>
      <c r="C29" s="89"/>
      <c r="D29" s="89"/>
      <c r="E29" s="68"/>
      <c r="F29" s="68"/>
      <c r="G29" s="52"/>
      <c r="H29" s="52" t="str">
        <f t="shared" si="5"/>
        <v/>
      </c>
      <c r="I29" s="46"/>
      <c r="J29" s="46"/>
      <c r="K29" s="46"/>
      <c r="L29" s="46"/>
      <c r="M29" s="46"/>
      <c r="N29" s="46"/>
      <c r="O29" s="46"/>
      <c r="P29" s="46"/>
      <c r="Q29" s="46"/>
      <c r="R29" s="46"/>
      <c r="S29" s="46"/>
      <c r="T29" s="46"/>
      <c r="U29" s="46"/>
      <c r="V29" s="46"/>
      <c r="W29" s="46"/>
      <c r="X29" s="46"/>
      <c r="Y29" s="46"/>
      <c r="Z29" s="75"/>
      <c r="AA29" s="75"/>
      <c r="AB29" s="75"/>
      <c r="AC29" s="75"/>
      <c r="AD29" s="75"/>
      <c r="AE29" s="75"/>
      <c r="AF29" s="75"/>
      <c r="AG29" s="75"/>
      <c r="AH29" s="75"/>
      <c r="AI29" s="75"/>
      <c r="AJ29" s="75"/>
      <c r="AK29" s="75"/>
      <c r="AL29" s="75"/>
      <c r="AM29" s="75"/>
      <c r="AN29" s="75"/>
      <c r="AO29" s="75"/>
      <c r="AP29" s="75"/>
      <c r="AQ29" s="75"/>
      <c r="AR29" s="75"/>
      <c r="AS29" s="75"/>
      <c r="AT29" s="75"/>
      <c r="AU29" s="46"/>
      <c r="AV29" s="46"/>
      <c r="AW29" s="46"/>
      <c r="AX29" s="46"/>
      <c r="AY29" s="46"/>
      <c r="AZ29" s="46"/>
      <c r="BA29" s="46"/>
      <c r="BB29" s="46"/>
      <c r="BC29" s="46"/>
      <c r="BD29" s="46"/>
      <c r="BE29" s="46"/>
      <c r="BF29" s="46"/>
      <c r="BG29" s="46"/>
      <c r="BH29" s="46"/>
      <c r="BI29" s="46"/>
      <c r="BJ29" s="46"/>
      <c r="BK29" s="46"/>
      <c r="BL29" s="46"/>
      <c r="BU29" s="17"/>
      <c r="CJ29" s="18"/>
    </row>
    <row r="30" spans="1:88" s="2" customFormat="1" ht="116.25" customHeight="1" thickBot="1" x14ac:dyDescent="0.3">
      <c r="A30" s="14"/>
      <c r="B30" s="89" t="s">
        <v>59</v>
      </c>
      <c r="C30" s="89"/>
      <c r="D30" s="89"/>
      <c r="E30" s="68"/>
      <c r="F30" s="68"/>
      <c r="G30" s="52"/>
      <c r="H30" s="52" t="str">
        <f t="shared" si="5"/>
        <v/>
      </c>
      <c r="I30" s="46"/>
      <c r="J30" s="46"/>
      <c r="K30" s="46"/>
      <c r="L30" s="46"/>
      <c r="M30" s="46"/>
      <c r="N30" s="46"/>
      <c r="O30" s="46"/>
      <c r="P30" s="46"/>
      <c r="Q30" s="46"/>
      <c r="R30" s="46"/>
      <c r="S30" s="46"/>
      <c r="T30" s="46"/>
      <c r="U30" s="46"/>
      <c r="V30" s="46"/>
      <c r="W30" s="46"/>
      <c r="X30" s="46"/>
      <c r="Y30" s="76"/>
      <c r="Z30" s="77"/>
      <c r="AA30" s="77"/>
      <c r="AB30" s="77"/>
      <c r="AC30" s="77"/>
      <c r="AD30" s="77"/>
      <c r="AE30" s="77"/>
      <c r="AF30" s="77"/>
      <c r="AG30" s="77"/>
      <c r="AH30" s="77"/>
      <c r="AI30" s="77"/>
      <c r="AJ30" s="77"/>
      <c r="AK30" s="77"/>
      <c r="AL30" s="77"/>
      <c r="AM30" s="77"/>
      <c r="AN30" s="77"/>
      <c r="AO30" s="77"/>
      <c r="AP30" s="77"/>
      <c r="AQ30" s="77"/>
      <c r="AR30" s="77"/>
      <c r="AS30" s="77"/>
      <c r="AT30" s="77"/>
      <c r="AU30" s="78"/>
      <c r="AV30" s="46"/>
      <c r="AW30" s="46"/>
      <c r="AX30" s="46"/>
      <c r="AY30" s="46"/>
      <c r="AZ30" s="46"/>
      <c r="BA30" s="46"/>
      <c r="BB30" s="46"/>
      <c r="BC30" s="46"/>
      <c r="BD30" s="46"/>
      <c r="BE30" s="46"/>
      <c r="BF30" s="46"/>
      <c r="BG30" s="46"/>
      <c r="BH30" s="46"/>
      <c r="BI30" s="46"/>
      <c r="BJ30" s="46"/>
      <c r="BK30" s="46"/>
      <c r="BL30" s="46"/>
      <c r="BU30" s="17"/>
      <c r="CJ30" s="18"/>
    </row>
    <row r="31" spans="1:88" s="2" customFormat="1" ht="30" customHeight="1" x14ac:dyDescent="0.25">
      <c r="A31" s="14"/>
      <c r="B31"/>
      <c r="C31"/>
      <c r="D31"/>
      <c r="E31" s="3"/>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U31" s="17"/>
      <c r="CJ31" s="18"/>
    </row>
    <row r="32" spans="1:88" s="2" customFormat="1" ht="30" customHeight="1" x14ac:dyDescent="0.25">
      <c r="A32" s="14"/>
      <c r="B32"/>
      <c r="C32"/>
      <c r="D32"/>
      <c r="E32" s="3"/>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U32" s="17"/>
      <c r="CJ32" s="18"/>
    </row>
    <row r="33" spans="1:88" s="2" customFormat="1" ht="30" customHeight="1" x14ac:dyDescent="0.25">
      <c r="A33" s="14"/>
      <c r="B33"/>
      <c r="C33"/>
      <c r="D33"/>
      <c r="E33" s="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U33" s="19"/>
      <c r="BV33" s="20"/>
      <c r="BW33" s="20"/>
      <c r="BX33" s="20"/>
      <c r="BY33" s="20"/>
      <c r="BZ33" s="20"/>
      <c r="CA33" s="20"/>
      <c r="CB33" s="20"/>
      <c r="CC33" s="20"/>
      <c r="CD33" s="20"/>
      <c r="CE33" s="20"/>
      <c r="CF33" s="20"/>
      <c r="CG33" s="20"/>
      <c r="CH33" s="20"/>
      <c r="CI33" s="20"/>
      <c r="CJ33" s="21"/>
    </row>
    <row r="34" spans="1:88" s="2" customFormat="1" ht="30" customHeight="1" x14ac:dyDescent="0.25">
      <c r="A34" s="14"/>
      <c r="B34"/>
      <c r="C34"/>
      <c r="D34"/>
      <c r="E34" s="3"/>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row>
  </sheetData>
  <mergeCells count="26">
    <mergeCell ref="B29:D29"/>
    <mergeCell ref="B30:D30"/>
    <mergeCell ref="B23:D23"/>
    <mergeCell ref="B24:D24"/>
    <mergeCell ref="B16:F16"/>
    <mergeCell ref="B26:D26"/>
    <mergeCell ref="B27:D27"/>
    <mergeCell ref="B9:F9"/>
    <mergeCell ref="B18:D18"/>
    <mergeCell ref="B20:D20"/>
    <mergeCell ref="B21:D21"/>
    <mergeCell ref="B11:F11"/>
    <mergeCell ref="B12:F12"/>
    <mergeCell ref="B13:F13"/>
    <mergeCell ref="B14:F14"/>
    <mergeCell ref="C3:D3"/>
    <mergeCell ref="C4:D4"/>
    <mergeCell ref="AK4:AQ4"/>
    <mergeCell ref="AR4:AX4"/>
    <mergeCell ref="AY4:BE4"/>
    <mergeCell ref="BF4:BL4"/>
    <mergeCell ref="E3:F3"/>
    <mergeCell ref="I4:O4"/>
    <mergeCell ref="P4:V4"/>
    <mergeCell ref="W4:AC4"/>
    <mergeCell ref="AD4:AJ4"/>
  </mergeCells>
  <conditionalFormatting sqref="D7:D8 D10 D15 D17 D19 D22 D25 D28">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24 I25:AB25 AR25:BL25 I26:BL27 I28:AB28 AL28:AN28 AX28:BL28 I29:BL30">
    <cfRule type="expression" dxfId="8" priority="33">
      <formula>AND(TODAY()&gt;=I$5,TODAY()&lt;J$5)</formula>
    </cfRule>
  </conditionalFormatting>
  <conditionalFormatting sqref="I7:BL24 I25:AB25 AR25:BL25 I26:BL27 I28:AB28 AL28:AN28 AX28:BL28 I29:BL30">
    <cfRule type="expression" dxfId="7" priority="27">
      <formula>AND(début_tâche&lt;=I$5,ROUNDDOWN((fin_tâche-début_tâche+1)*avancement_tâche,0)+début_tâche-1&gt;=I$5)</formula>
    </cfRule>
    <cfRule type="expression" dxfId="6" priority="28" stopIfTrue="1">
      <formula>AND(fin_tâche&gt;=I$5,début_tâche&lt;J$5)</formula>
    </cfRule>
  </conditionalFormatting>
  <conditionalFormatting sqref="AI25:AQ25">
    <cfRule type="expression" dxfId="5" priority="60">
      <formula>AND(TODAY()&gt;=AC$5,TODAY()&lt;AD$5)</formula>
    </cfRule>
    <cfRule type="expression" dxfId="4" priority="64">
      <formula>AND(début_tâche&lt;=AC$5,ROUNDDOWN((fin_tâche-début_tâche+1)*avancement_tâche,0)+début_tâche-1&gt;=AC$5)</formula>
    </cfRule>
    <cfRule type="expression" dxfId="3" priority="65" stopIfTrue="1">
      <formula>AND(fin_tâche&gt;=AC$5,début_tâche&lt;AD$5)</formula>
    </cfRule>
  </conditionalFormatting>
  <conditionalFormatting sqref="AO28:AW28">
    <cfRule type="expression" dxfId="2" priority="67">
      <formula>AND(TODAY()&gt;=AC$5,TODAY()&lt;AD$5)</formula>
    </cfRule>
    <cfRule type="expression" dxfId="1" priority="70">
      <formula>AND(début_tâche&lt;=AC$5,ROUNDDOWN((fin_tâche-début_tâche+1)*avancement_tâche,0)+début_tâche-1&gt;=AC$5)</formula>
    </cfRule>
    <cfRule type="expression" dxfId="0" priority="71" stopIfTrue="1">
      <formula>AND(fin_tâche&gt;=AC$5,début_tâche&lt;AD$5)</formula>
    </cfRule>
  </conditionalFormatting>
  <dataValidations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hyperlinks>
    <hyperlink ref="I1" r:id="rId1" xr:uid="{00000000-0004-0000-0000-000001000000}"/>
  </hyperlinks>
  <printOptions horizontalCentered="1"/>
  <pageMargins left="0.35" right="0.35" top="0.35" bottom="0.5" header="0.3" footer="0.3"/>
  <pageSetup paperSize="9" scale="59" fitToHeight="0" orientation="landscape" r:id="rId2"/>
  <headerFooter differentFirst="1" scaleWithDoc="0">
    <oddFooter>Page &amp;P of &amp;N</oddFooter>
  </headerFooter>
  <colBreaks count="1" manualBreakCount="1">
    <brk id="2"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D7:D8 D10 D15 D17 D19 D22 D25 D28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90.7109375" style="4" customWidth="1"/>
    <col min="2" max="16384" width="9.140625" style="1"/>
  </cols>
  <sheetData>
    <row r="1" spans="1:2" ht="46.5" customHeight="1" x14ac:dyDescent="0.2"/>
    <row r="2" spans="1:2" s="6" customFormat="1" ht="15.75" x14ac:dyDescent="0.25">
      <c r="A2" s="5" t="s">
        <v>18</v>
      </c>
      <c r="B2" s="5"/>
    </row>
    <row r="3" spans="1:2" s="10" customFormat="1" ht="27" customHeight="1" x14ac:dyDescent="0.25">
      <c r="A3" s="16" t="s">
        <v>19</v>
      </c>
      <c r="B3" s="11"/>
    </row>
    <row r="4" spans="1:2" s="7" customFormat="1" ht="26.25" x14ac:dyDescent="0.4">
      <c r="A4" s="8" t="s">
        <v>20</v>
      </c>
    </row>
    <row r="5" spans="1:2" ht="74.099999999999994" customHeight="1" x14ac:dyDescent="0.2">
      <c r="A5" s="9" t="s">
        <v>21</v>
      </c>
    </row>
    <row r="6" spans="1:2" ht="26.25" customHeight="1" x14ac:dyDescent="0.2">
      <c r="A6" s="8" t="s">
        <v>22</v>
      </c>
    </row>
    <row r="7" spans="1:2" s="4" customFormat="1" ht="204.95" customHeight="1" x14ac:dyDescent="0.25">
      <c r="A7" s="13" t="s">
        <v>23</v>
      </c>
    </row>
    <row r="8" spans="1:2" s="7" customFormat="1" ht="26.25" x14ac:dyDescent="0.4">
      <c r="A8" s="8" t="s">
        <v>24</v>
      </c>
    </row>
    <row r="9" spans="1:2" ht="75" x14ac:dyDescent="0.2">
      <c r="A9" s="9" t="s">
        <v>25</v>
      </c>
    </row>
    <row r="10" spans="1:2" s="4" customFormat="1" ht="27.95" customHeight="1" x14ac:dyDescent="0.25">
      <c r="A10" s="12" t="s">
        <v>26</v>
      </c>
    </row>
    <row r="11" spans="1:2" s="7" customFormat="1" ht="26.25" x14ac:dyDescent="0.4">
      <c r="A11" s="8" t="s">
        <v>27</v>
      </c>
    </row>
    <row r="12" spans="1:2" ht="30" x14ac:dyDescent="0.2">
      <c r="A12" s="9" t="s">
        <v>28</v>
      </c>
    </row>
    <row r="13" spans="1:2" s="4" customFormat="1" ht="27.95" customHeight="1" x14ac:dyDescent="0.25">
      <c r="A13" s="12" t="s">
        <v>29</v>
      </c>
    </row>
    <row r="14" spans="1:2" s="7" customFormat="1" ht="26.25" x14ac:dyDescent="0.4">
      <c r="A14" s="8" t="s">
        <v>30</v>
      </c>
    </row>
    <row r="15" spans="1:2" ht="88.5" customHeight="1" x14ac:dyDescent="0.2">
      <c r="A15" s="9" t="s">
        <v>31</v>
      </c>
    </row>
    <row r="16" spans="1:2" ht="96.75" customHeight="1" x14ac:dyDescent="0.2">
      <c r="A16" s="9" t="s">
        <v>32</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6</vt:i4>
      </vt:variant>
    </vt:vector>
  </HeadingPairs>
  <TitlesOfParts>
    <vt:vector size="8" baseType="lpstr">
      <vt:lpstr>PlanningProjet</vt:lpstr>
      <vt:lpstr>À propos de</vt:lpstr>
      <vt:lpstr>PlanningProjet!avancement_tâche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2026-01-20T12:18:36Z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